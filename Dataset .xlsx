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C:\Users\Neemah\Documents\mtn project\"/>
    </mc:Choice>
  </mc:AlternateContent>
  <xr:revisionPtr revIDLastSave="0" documentId="13_ncr:1_{E2040588-20D7-4AE4-A554-9DA0685FDB61}" xr6:coauthVersionLast="47" xr6:coauthVersionMax="47" xr10:uidLastSave="{00000000-0000-0000-0000-000000000000}"/>
  <bookViews>
    <workbookView xWindow="-120" yWindow="-120" windowWidth="20730" windowHeight="11160" xr2:uid="{7564AF48-B89F-4C94-9BD7-952312C4DC9A}"/>
  </bookViews>
  <sheets>
    <sheet name="Analysis" sheetId="1" r:id="rId1"/>
    <sheet name="Dashboard" sheetId="2" r:id="rId2"/>
  </sheets>
  <definedNames>
    <definedName name="Slicer_Months">#N/A</definedName>
    <definedName name="Slicer_Product_Name">#N/A</definedName>
    <definedName name="Slicer_years">#N/A</definedName>
  </definedNames>
  <calcPr calcId="191029"/>
  <pivotCaches>
    <pivotCache cacheId="713" r:id="rId3"/>
    <pivotCache cacheId="716" r:id="rId4"/>
    <pivotCache cacheId="719" r:id="rId5"/>
    <pivotCache cacheId="722" r:id="rId6"/>
    <pivotCache cacheId="725" r:id="rId7"/>
    <pivotCache cacheId="728" r:id="rId8"/>
    <pivotCache cacheId="731" r:id="rId9"/>
    <pivotCache cacheId="734" r:id="rId10"/>
    <pivotCache cacheId="737" r:id="rId11"/>
    <pivotCache cacheId="740" r:id="rId12"/>
    <pivotCache cacheId="743" r:id="rId13"/>
    <pivotCache cacheId="746" r:id="rId14"/>
    <pivotCache cacheId="749" r:id="rId15"/>
    <pivotCache cacheId="752" r:id="rId16"/>
  </pivotCaches>
  <extLst>
    <ext xmlns:x14="http://schemas.microsoft.com/office/spreadsheetml/2009/9/main" uri="{876F7934-8845-4945-9796-88D515C7AA90}">
      <x14:pivotCaches>
        <pivotCache cacheId="101" r:id="rId17"/>
      </x14:pivotCaches>
    </ex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tn_customer_churn_ce283696-3a7b-4635-88da-0a7a288315bc" name="mtn_customer_churn" connection="Query - mtn_customer_churn"/>
          <x15:modelTable id="Age-Group_28aa0c92-f284-4136-bad2-43703b556c55" name="Age-Group" connection="Query - Age-Group"/>
          <x15:modelTable id="order date_7e473798-a5c1-4e27-9d99-ad894019a8d5" name="order date" connection="Query - order date"/>
          <x15:modelTable id="Calculation_17f39611-9d87-4d1c-9ffa-87707c8a1941" name="Calculation" connection="Query - Calculation"/>
        </x15:modelTables>
        <x15:modelRelationships>
          <x15:modelRelationship fromTable="mtn_customer_churn" fromColumn="Age_Group" toTable="Age-Group" toColumn="Age_Group"/>
          <x15:modelRelationship fromTable="mtn_customer_churn" fromColumn="Order_Date" toTable="order date" toColumn="Order_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6" i="1" l="1"/>
  <c r="U26" i="1" s="1"/>
  <c r="T25" i="1"/>
  <c r="U25" i="1" s="1"/>
  <c r="S24" i="1" a="1"/>
  <c r="S24" i="1" s="1"/>
  <c r="U14" i="1"/>
  <c r="U15" i="1"/>
  <c r="U16" i="1"/>
  <c r="U17" i="1"/>
  <c r="U13" i="1"/>
  <c r="U9" i="1"/>
  <c r="U8" i="1"/>
  <c r="U7" i="1"/>
  <c r="U6" i="1"/>
  <c r="U5" i="1"/>
  <c r="P12" i="1"/>
  <c r="P13" i="1"/>
  <c r="P14" i="1"/>
  <c r="P15" i="1"/>
  <c r="P16" i="1"/>
  <c r="P17" i="1"/>
  <c r="P11" i="1"/>
  <c r="J19" i="1"/>
  <c r="J20" i="1"/>
  <c r="J21" i="1"/>
  <c r="J22" i="1"/>
  <c r="J23" i="1"/>
  <c r="J24" i="1"/>
  <c r="J25" i="1"/>
  <c r="J26" i="1"/>
  <c r="J27" i="1"/>
  <c r="J28" i="1"/>
  <c r="O20" i="1" a="1"/>
  <c r="O20" i="1" s="1"/>
  <c r="N20" i="1" a="1"/>
  <c r="N20" i="1" s="1"/>
  <c r="P3" i="1"/>
  <c r="P4" i="1"/>
  <c r="P5" i="1"/>
  <c r="P2" i="1"/>
  <c r="J5" i="1"/>
  <c r="K19" i="1"/>
  <c r="K20" i="1"/>
  <c r="L20" i="1" s="1"/>
  <c r="K21" i="1"/>
  <c r="L21" i="1" s="1"/>
  <c r="K22" i="1"/>
  <c r="L22" i="1" s="1"/>
  <c r="K23" i="1"/>
  <c r="L23" i="1" s="1"/>
  <c r="K24" i="1"/>
  <c r="L24" i="1" s="1"/>
  <c r="K25" i="1"/>
  <c r="L25" i="1" s="1"/>
  <c r="K26" i="1"/>
  <c r="L26" i="1" s="1"/>
  <c r="K27" i="1"/>
  <c r="L27" i="1" s="1"/>
  <c r="K28" i="1"/>
  <c r="L28" i="1" s="1"/>
  <c r="F11" i="1"/>
  <c r="F12" i="1"/>
  <c r="F10" i="1"/>
  <c r="E11" i="1"/>
  <c r="E12" i="1"/>
  <c r="E10" i="1"/>
  <c r="A15" i="1"/>
  <c r="B15" i="1"/>
  <c r="A16" i="1"/>
  <c r="B16" i="1"/>
  <c r="B17" i="1"/>
  <c r="A3" i="1"/>
  <c r="Q22" i="1" l="1"/>
  <c r="P27" i="1"/>
  <c r="V21" i="1"/>
  <c r="U18" i="1"/>
  <c r="U20" i="1"/>
  <c r="V16" i="1"/>
  <c r="V18" i="1"/>
  <c r="V20" i="1"/>
  <c r="U19" i="1"/>
  <c r="U21" i="1"/>
  <c r="V15" i="1"/>
  <c r="V17" i="1"/>
  <c r="V19" i="1"/>
  <c r="P23" i="1"/>
  <c r="Q27" i="1"/>
  <c r="P22" i="1"/>
  <c r="Q26" i="1"/>
  <c r="P21" i="1"/>
  <c r="Q23" i="1"/>
  <c r="P26" i="1"/>
  <c r="Q25" i="1"/>
  <c r="P24" i="1"/>
  <c r="Q24" i="1"/>
  <c r="F20" i="1"/>
  <c r="P25" i="1"/>
  <c r="Q21" i="1"/>
  <c r="F19" i="1"/>
  <c r="B12" i="1"/>
  <c r="B1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7E9825-A4F6-4794-A029-A54FB2C25014}" name="Query - Age-Group" description="Connection to the 'Age-Group' query in the workbook." type="100" refreshedVersion="8" minRefreshableVersion="5">
    <extLst>
      <ext xmlns:x15="http://schemas.microsoft.com/office/spreadsheetml/2010/11/main" uri="{DE250136-89BD-433C-8126-D09CA5730AF9}">
        <x15:connection id="7a735235-62fb-4e00-91cd-8f4df2575a6a">
          <x15:oledbPr connection="Provider=Microsoft.Mashup.OleDb.1;Data Source=$Workbook$;Location=Age-Group;Extended Properties=&quot;&quot;">
            <x15:dbTables>
              <x15:dbTable name="Age-Group"/>
            </x15:dbTables>
          </x15:oledbPr>
        </x15:connection>
      </ext>
    </extLst>
  </connection>
  <connection id="2" xr16:uid="{5028F140-799C-4A83-81D9-8159F0974DBB}" name="Query - Calculation" description="Connection to the 'Calculation' query in the workbook." type="100" refreshedVersion="8" minRefreshableVersion="5">
    <extLst>
      <ext xmlns:x15="http://schemas.microsoft.com/office/spreadsheetml/2010/11/main" uri="{DE250136-89BD-433C-8126-D09CA5730AF9}">
        <x15:connection id="3b01b504-6e0a-4640-827f-bf567e9632c3">
          <x15:oledbPr connection="Provider=Microsoft.Mashup.OleDb.1;Data Source=$Workbook$;Location=Calculation;Extended Properties=&quot;&quot;">
            <x15:dbTables>
              <x15:dbTable name="Calculation"/>
            </x15:dbTables>
          </x15:oledbPr>
        </x15:connection>
      </ext>
    </extLst>
  </connection>
  <connection id="3" xr16:uid="{CA7BF6D7-03B1-4963-8B93-1D9D103C36E1}" name="Query - mtn_customer_churn" description="Connection to the 'mtn_customer_churn' query in the workbook." type="100" refreshedVersion="8" minRefreshableVersion="5">
    <extLst>
      <ext xmlns:x15="http://schemas.microsoft.com/office/spreadsheetml/2010/11/main" uri="{DE250136-89BD-433C-8126-D09CA5730AF9}">
        <x15:connection id="f9eeebda-ef9f-436b-b2da-ffcb6c90b699">
          <x15:oledbPr connection="Provider=Microsoft.Mashup.OleDb.1;Data Source=$Workbook$;Location=mtn_customer_churn;Extended Properties=&quot;&quot;">
            <x15:dbTables>
              <x15:dbTable name="mtn_customer_churn"/>
            </x15:dbTables>
          </x15:oledbPr>
        </x15:connection>
      </ext>
    </extLst>
  </connection>
  <connection id="4" xr16:uid="{A0FA485C-CA6A-43DA-93C3-47921FEE6324}" name="Query - order date" description="Connection to the 'order date' query in the workbook." type="100" refreshedVersion="8" minRefreshableVersion="5">
    <extLst>
      <ext xmlns:x15="http://schemas.microsoft.com/office/spreadsheetml/2010/11/main" uri="{DE250136-89BD-433C-8126-D09CA5730AF9}">
        <x15:connection id="1f9fc74f-adb8-4be7-bb0c-3917428a1424"/>
      </ext>
    </extLst>
  </connection>
  <connection id="5" xr16:uid="{AD4F3A9E-D038-4E93-A559-CD70EEC1270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<sst xmlns="http://schemas.openxmlformats.org/spreadsheetml/2006/main" count="107" uniqueCount="85">
  <si>
    <t>Total Revenue</t>
  </si>
  <si>
    <t>Total Customers</t>
  </si>
  <si>
    <t>Churned customer</t>
  </si>
  <si>
    <t>Churn Rate</t>
  </si>
  <si>
    <t>Avg. Tenure (month)</t>
  </si>
  <si>
    <t>Avg.Satisfaction Score</t>
  </si>
  <si>
    <t>product</t>
  </si>
  <si>
    <t>Total Qty Sold</t>
  </si>
  <si>
    <t>Total Unit Sold</t>
  </si>
  <si>
    <t>Row Labels</t>
  </si>
  <si>
    <t>4G Router</t>
  </si>
  <si>
    <t>5G Broadband Router</t>
  </si>
  <si>
    <t>Broadband MiFi</t>
  </si>
  <si>
    <t>Mobile SIM Card</t>
  </si>
  <si>
    <t>Avg. Revenue per customer</t>
  </si>
  <si>
    <t>Avg. revenue per product</t>
  </si>
  <si>
    <t>Total Revenew</t>
  </si>
  <si>
    <t>10GB+10mins Monthly Plan</t>
  </si>
  <si>
    <t>12.5GB Monthly Plan</t>
  </si>
  <si>
    <t>120GB Monthly Broadband Plan</t>
  </si>
  <si>
    <t>150GB FUP Monthly Unlimited</t>
  </si>
  <si>
    <t>165GB Monthly Plan</t>
  </si>
  <si>
    <t>25GB Monthly Plan</t>
  </si>
  <si>
    <t>300GB FUP Monthly Unlimited</t>
  </si>
  <si>
    <t>30GB Monthly Broadband Plan</t>
  </si>
  <si>
    <t>60GB Monthly Broadband Plan</t>
  </si>
  <si>
    <t>65GB Monthly Plan</t>
  </si>
  <si>
    <t>Total Data Usage</t>
  </si>
  <si>
    <t>Not Churn</t>
  </si>
  <si>
    <t>Churn</t>
  </si>
  <si>
    <t>Count of Customer Churn Status</t>
  </si>
  <si>
    <t>churn Rate</t>
  </si>
  <si>
    <t>Churned</t>
  </si>
  <si>
    <t>Not Churned</t>
  </si>
  <si>
    <t xml:space="preserve"> Customer Churn Status</t>
  </si>
  <si>
    <t>Reminder</t>
  </si>
  <si>
    <t>Subcription Plan</t>
  </si>
  <si>
    <t>Oyo</t>
  </si>
  <si>
    <t>Yobe</t>
  </si>
  <si>
    <t>Weekday</t>
  </si>
  <si>
    <t>Weekend</t>
  </si>
  <si>
    <t>weeks</t>
  </si>
  <si>
    <t>weekday</t>
  </si>
  <si>
    <t>weekend</t>
  </si>
  <si>
    <t>weeks percentage</t>
  </si>
  <si>
    <t>reminders</t>
  </si>
  <si>
    <t>option botten</t>
  </si>
  <si>
    <t>Tittle</t>
  </si>
  <si>
    <t>1.5GB 2-Day Plan</t>
  </si>
  <si>
    <t>1.5TB Yearly Broadband Plan</t>
  </si>
  <si>
    <t>16.5GB+10mins Monthly Plan</t>
  </si>
  <si>
    <t>1GB+1.5mins Daily Plan</t>
  </si>
  <si>
    <t>2.5GB 2-Day Plan</t>
  </si>
  <si>
    <t>200GB Monthly Broadband Plan</t>
  </si>
  <si>
    <t>20GB Monthly Plan</t>
  </si>
  <si>
    <t>3.2GB 2-Day Plan</t>
  </si>
  <si>
    <t>450GB 3-Month Broadband Plan</t>
  </si>
  <si>
    <t>500MB Daily Plan</t>
  </si>
  <si>
    <t>7GB Monthly Plan</t>
  </si>
  <si>
    <t>Label</t>
  </si>
  <si>
    <t>&lt; 20</t>
  </si>
  <si>
    <t>21-30</t>
  </si>
  <si>
    <t>31-40</t>
  </si>
  <si>
    <t>41-50</t>
  </si>
  <si>
    <t>51-60</t>
  </si>
  <si>
    <t>61-70</t>
  </si>
  <si>
    <t>71-80</t>
  </si>
  <si>
    <t>Age_Group</t>
  </si>
  <si>
    <t>Max</t>
  </si>
  <si>
    <t>Min</t>
  </si>
  <si>
    <t>Edo</t>
  </si>
  <si>
    <t>Ekiti</t>
  </si>
  <si>
    <t>Plateau</t>
  </si>
  <si>
    <t>Alabo Turner</t>
  </si>
  <si>
    <t>Amina Johns</t>
  </si>
  <si>
    <t>Chinedu Brown</t>
  </si>
  <si>
    <t>Halima Martin</t>
  </si>
  <si>
    <t>Kunle Myers</t>
  </si>
  <si>
    <t>State</t>
  </si>
  <si>
    <t>Full Name</t>
  </si>
  <si>
    <t>Female</t>
  </si>
  <si>
    <t>Male</t>
  </si>
  <si>
    <t>pct</t>
  </si>
  <si>
    <t>gender</t>
  </si>
  <si>
    <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</si>
</sst>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0;\(\$#,##0.00\);\$#,##0.00"/>
    <numFmt numFmtId="165" formatCode="0.00%;\-0.00%;0.00%"/>
    <numFmt numFmtId="166" formatCode="\$#,##0.00;\-\$#,##0.00;\$#,##0.00"/>
    <numFmt numFmtId="167" formatCode="\$#,##0;\(\$#,##0\);\$#,##0"/>
    <numFmt numFmtId="168" formatCode="[$$-409]#,##0"/>
  </numFmts>
  <fonts count="3" x14ac:knownFonts="1">
    <font>
      <sz val="11"/>
      <color theme="1"/>
      <name val="Calibri"/>
      <family val="2"/>
      <scheme val="minor"/>
    </font>
    <font>
      <sz val="11"/>
      <color theme="1"/>
      <name val="Calibri"/>
      <family val="2"/>
      <scheme val="minor"/>
    </font>
    <font>
      <sz val="11"/>
      <color theme="0"/>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164" fontId="0" fillId="0" borderId="0" xfId="0" applyNumberFormat="1"/>
    <xf numFmtId="0" fontId="0" fillId="0" borderId="0" xfId="0" pivotButton="1"/>
    <xf numFmtId="1" fontId="0" fillId="0" borderId="0" xfId="0" applyNumberFormat="1"/>
    <xf numFmtId="165" fontId="0" fillId="0" borderId="0" xfId="0" applyNumberFormat="1"/>
    <xf numFmtId="2" fontId="0" fillId="0" borderId="0" xfId="0" applyNumberFormat="1"/>
    <xf numFmtId="166" fontId="0" fillId="0" borderId="0" xfId="0" applyNumberFormat="1"/>
    <xf numFmtId="0" fontId="0" fillId="2" borderId="0" xfId="0" applyFill="1"/>
    <xf numFmtId="0" fontId="0" fillId="0" borderId="0" xfId="0" applyAlignment="1">
      <alignment horizontal="left"/>
    </xf>
    <xf numFmtId="167" fontId="0" fillId="0" borderId="0" xfId="0" applyNumberFormat="1"/>
    <xf numFmtId="9" fontId="0" fillId="0" borderId="0" xfId="1" applyFont="1"/>
    <xf numFmtId="9" fontId="0" fillId="0" borderId="0" xfId="0" applyNumberFormat="1"/>
    <xf numFmtId="49" fontId="0" fillId="0" borderId="0" xfId="0" applyNumberFormat="1"/>
    <xf numFmtId="168" fontId="0" fillId="0" borderId="0" xfId="0" applyNumberFormat="1"/>
    <xf numFmtId="0" fontId="2" fillId="3" borderId="0" xfId="0" applyFont="1" applyFill="1" applyAlignment="1">
      <alignment horizontal="center"/>
    </xf>
    <xf numFmtId="0" fontId="0" fillId="0" borderId="0" xfId="0" applyNumberFormat="1"/>
  </cellXfs>
  <cellStyles count="2">
    <cellStyle name="Normal" xfId="0" builtinId="0"/>
    <cellStyle name="Percent" xfId="1" builtinId="5"/>
  </cellStyles>
  <dxfs count="251">
    <dxf>
      <font>
        <b/>
        <color theme="1"/>
      </font>
      <border>
        <bottom style="thin">
          <color theme="7"/>
        </bottom>
        <vertical/>
        <horizontal/>
      </border>
    </dxf>
    <dxf>
      <font>
        <color rgb="FFFEFEBA"/>
      </font>
      <fill>
        <patternFill>
          <bgColor theme="0"/>
        </patternFill>
      </fill>
      <border diagonalUp="0" diagonalDown="0">
        <left/>
        <right/>
        <top/>
        <bottom/>
        <vertical/>
        <horizontal/>
      </border>
    </dxf>
    <dxf>
      <numFmt numFmtId="167" formatCode="\$#,##0;\(\$#,##0\);\$#,##0"/>
    </dxf>
    <dxf>
      <numFmt numFmtId="167" formatCode="\$#,##0;\(\$#,##0\);\$#,##0"/>
    </dxf>
    <dxf>
      <numFmt numFmtId="1" formatCode="0"/>
    </dxf>
    <dxf>
      <numFmt numFmtId="168" formatCode="[$$-409]#,##0"/>
    </dxf>
    <dxf>
      <numFmt numFmtId="168" formatCode="[$$-409]#,##0"/>
    </dxf>
    <dxf>
      <numFmt numFmtId="168" formatCode="[$$-409]#,##0"/>
    </dxf>
    <dxf>
      <numFmt numFmtId="168" formatCode="[$$-409]#,##0"/>
    </dxf>
    <dxf>
      <numFmt numFmtId="168" formatCode="[$$-409]#,##0"/>
    </dxf>
    <dxf>
      <numFmt numFmtId="168" formatCode="[$$-409]#,##0"/>
    </dxf>
    <dxf>
      <numFmt numFmtId="1" formatCode="0"/>
    </dxf>
    <dxf>
      <numFmt numFmtId="1" formatCode="0"/>
    </dxf>
    <dxf>
      <numFmt numFmtId="168" formatCode="[$$-409]#,##0"/>
    </dxf>
    <dxf>
      <numFmt numFmtId="168" formatCode="[$$-409]#,##0"/>
    </dxf>
    <dxf>
      <numFmt numFmtId="167" formatCode="\$#,##0;\(\$#,##0\);\$#,##0"/>
    </dxf>
    <dxf>
      <numFmt numFmtId="167" formatCode="\$#,##0;\(\$#,##0\);\$#,##0"/>
    </dxf>
    <dxf>
      <numFmt numFmtId="1" formatCode="0"/>
    </dxf>
    <dxf>
      <numFmt numFmtId="168" formatCode="[$$-409]#,##0"/>
    </dxf>
    <dxf>
      <numFmt numFmtId="168" formatCode="[$$-409]#,##0"/>
    </dxf>
    <dxf>
      <numFmt numFmtId="168" formatCode="[$$-409]#,##0"/>
    </dxf>
    <dxf>
      <numFmt numFmtId="168" formatCode="[$$-409]#,##0"/>
    </dxf>
    <dxf>
      <numFmt numFmtId="168" formatCode="[$$-409]#,##0"/>
    </dxf>
    <dxf>
      <numFmt numFmtId="168" formatCode="[$$-409]#,##0"/>
    </dxf>
    <dxf>
      <numFmt numFmtId="1" formatCode="0"/>
    </dxf>
    <dxf>
      <numFmt numFmtId="1" formatCode="0"/>
    </dxf>
    <dxf>
      <numFmt numFmtId="168" formatCode="[$$-409]#,##0"/>
    </dxf>
    <dxf>
      <numFmt numFmtId="168" formatCode="[$$-409]#,##0"/>
    </dxf>
    <dxf>
      <numFmt numFmtId="167" formatCode="\$#,##0;\(\$#,##0\);\$#,##0"/>
    </dxf>
    <dxf>
      <numFmt numFmtId="167" formatCode="\$#,##0;\(\$#,##0\);\$#,##0"/>
    </dxf>
    <dxf>
      <numFmt numFmtId="1" formatCode="0"/>
    </dxf>
    <dxf>
      <numFmt numFmtId="168" formatCode="[$$-409]#,##0"/>
    </dxf>
    <dxf>
      <numFmt numFmtId="168" formatCode="[$$-409]#,##0"/>
    </dxf>
    <dxf>
      <numFmt numFmtId="168" formatCode="[$$-409]#,##0"/>
    </dxf>
    <dxf>
      <numFmt numFmtId="168" formatCode="[$$-409]#,##0"/>
    </dxf>
    <dxf>
      <numFmt numFmtId="168" formatCode="[$$-409]#,##0"/>
    </dxf>
    <dxf>
      <numFmt numFmtId="168" formatCode="[$$-409]#,##0"/>
    </dxf>
    <dxf>
      <numFmt numFmtId="1" formatCode="0"/>
    </dxf>
    <dxf>
      <numFmt numFmtId="1" formatCode="0"/>
    </dxf>
    <dxf>
      <numFmt numFmtId="168" formatCode="[$$-409]#,##0"/>
    </dxf>
    <dxf>
      <numFmt numFmtId="168" formatCode="[$$-409]#,##0"/>
    </dxf>
    <dxf>
      <numFmt numFmtId="167" formatCode="\$#,##0;\(\$#,##0\);\$#,##0"/>
    </dxf>
    <dxf>
      <numFmt numFmtId="167" formatCode="\$#,##0;\(\$#,##0\);\$#,##0"/>
    </dxf>
    <dxf>
      <numFmt numFmtId="1" formatCode="0"/>
    </dxf>
    <dxf>
      <numFmt numFmtId="168" formatCode="[$$-409]#,##0"/>
    </dxf>
    <dxf>
      <numFmt numFmtId="168" formatCode="[$$-409]#,##0"/>
    </dxf>
    <dxf>
      <numFmt numFmtId="168" formatCode="[$$-409]#,##0"/>
    </dxf>
    <dxf>
      <numFmt numFmtId="168" formatCode="[$$-409]#,##0"/>
    </dxf>
    <dxf>
      <numFmt numFmtId="168" formatCode="[$$-409]#,##0"/>
    </dxf>
    <dxf>
      <numFmt numFmtId="168" formatCode="[$$-409]#,##0"/>
    </dxf>
    <dxf>
      <numFmt numFmtId="1" formatCode="0"/>
    </dxf>
    <dxf>
      <numFmt numFmtId="1" formatCode="0"/>
    </dxf>
    <dxf>
      <numFmt numFmtId="168" formatCode="[$$-409]#,##0"/>
    </dxf>
    <dxf>
      <numFmt numFmtId="168" formatCode="[$$-409]#,##0"/>
    </dxf>
    <dxf>
      <numFmt numFmtId="167" formatCode="\$#,##0;\(\$#,##0\);\$#,##0"/>
    </dxf>
    <dxf>
      <numFmt numFmtId="167" formatCode="\$#,##0;\(\$#,##0\);\$#,##0"/>
    </dxf>
    <dxf>
      <numFmt numFmtId="1" formatCode="0"/>
    </dxf>
    <dxf>
      <numFmt numFmtId="168" formatCode="[$$-409]#,##0"/>
    </dxf>
    <dxf>
      <numFmt numFmtId="168" formatCode="[$$-409]#,##0"/>
    </dxf>
    <dxf>
      <numFmt numFmtId="168" formatCode="[$$-409]#,##0"/>
    </dxf>
    <dxf>
      <numFmt numFmtId="168" formatCode="[$$-409]#,##0"/>
    </dxf>
    <dxf>
      <numFmt numFmtId="168" formatCode="[$$-409]#,##0"/>
    </dxf>
    <dxf>
      <numFmt numFmtId="168" formatCode="[$$-409]#,##0"/>
    </dxf>
    <dxf>
      <numFmt numFmtId="1" formatCode="0"/>
    </dxf>
    <dxf>
      <numFmt numFmtId="1" formatCode="0"/>
    </dxf>
    <dxf>
      <numFmt numFmtId="168" formatCode="[$$-409]#,##0"/>
    </dxf>
    <dxf>
      <numFmt numFmtId="168" formatCode="[$$-409]#,##0"/>
    </dxf>
    <dxf>
      <numFmt numFmtId="167" formatCode="\$#,##0;\(\$#,##0\);\$#,##0"/>
    </dxf>
    <dxf>
      <numFmt numFmtId="167" formatCode="\$#,##0;\(\$#,##0\);\$#,##0"/>
    </dxf>
    <dxf>
      <numFmt numFmtId="1" formatCode="0"/>
    </dxf>
    <dxf>
      <numFmt numFmtId="168" formatCode="[$$-409]#,##0"/>
    </dxf>
    <dxf>
      <numFmt numFmtId="168" formatCode="[$$-409]#,##0"/>
    </dxf>
    <dxf>
      <numFmt numFmtId="168" formatCode="[$$-409]#,##0"/>
    </dxf>
    <dxf>
      <numFmt numFmtId="168" formatCode="[$$-409]#,##0"/>
    </dxf>
    <dxf>
      <numFmt numFmtId="168" formatCode="[$$-409]#,##0"/>
    </dxf>
    <dxf>
      <numFmt numFmtId="168" formatCode="[$$-409]#,##0"/>
    </dxf>
    <dxf>
      <numFmt numFmtId="1" formatCode="0"/>
    </dxf>
    <dxf>
      <numFmt numFmtId="1" formatCode="0"/>
    </dxf>
    <dxf>
      <numFmt numFmtId="168" formatCode="[$$-409]#,##0"/>
    </dxf>
    <dxf>
      <numFmt numFmtId="168" formatCode="[$$-409]#,##0"/>
    </dxf>
    <dxf>
      <numFmt numFmtId="167" formatCode="\$#,##0;\(\$#,##0\);\$#,##0"/>
    </dxf>
    <dxf>
      <numFmt numFmtId="167" formatCode="\$#,##0;\(\$#,##0\);\$#,##0"/>
    </dxf>
    <dxf>
      <numFmt numFmtId="1" formatCode="0"/>
    </dxf>
    <dxf>
      <numFmt numFmtId="168" formatCode="[$$-409]#,##0"/>
    </dxf>
    <dxf>
      <numFmt numFmtId="168" formatCode="[$$-409]#,##0"/>
    </dxf>
    <dxf>
      <numFmt numFmtId="168" formatCode="[$$-409]#,##0"/>
    </dxf>
    <dxf>
      <numFmt numFmtId="168" formatCode="[$$-409]#,##0"/>
    </dxf>
    <dxf>
      <numFmt numFmtId="168" formatCode="[$$-409]#,##0"/>
    </dxf>
    <dxf>
      <numFmt numFmtId="168" formatCode="[$$-409]#,##0"/>
    </dxf>
    <dxf>
      <numFmt numFmtId="1" formatCode="0"/>
    </dxf>
    <dxf>
      <numFmt numFmtId="1" formatCode="0"/>
    </dxf>
    <dxf>
      <numFmt numFmtId="168" formatCode="[$$-409]#,##0"/>
    </dxf>
    <dxf>
      <numFmt numFmtId="168" formatCode="[$$-409]#,##0"/>
    </dxf>
    <dxf>
      <numFmt numFmtId="167" formatCode="\$#,##0;\(\$#,##0\);\$#,##0"/>
    </dxf>
    <dxf>
      <numFmt numFmtId="167" formatCode="\$#,##0;\(\$#,##0\);\$#,##0"/>
    </dxf>
    <dxf>
      <numFmt numFmtId="1" formatCode="0"/>
    </dxf>
    <dxf>
      <numFmt numFmtId="168" formatCode="[$$-409]#,##0"/>
    </dxf>
    <dxf>
      <numFmt numFmtId="168" formatCode="[$$-409]#,##0"/>
    </dxf>
    <dxf>
      <numFmt numFmtId="168" formatCode="[$$-409]#,##0"/>
    </dxf>
    <dxf>
      <numFmt numFmtId="168" formatCode="[$$-409]#,##0"/>
    </dxf>
    <dxf>
      <numFmt numFmtId="168" formatCode="[$$-409]#,##0"/>
    </dxf>
    <dxf>
      <numFmt numFmtId="168" formatCode="[$$-409]#,##0"/>
    </dxf>
    <dxf>
      <numFmt numFmtId="1" formatCode="0"/>
    </dxf>
    <dxf>
      <numFmt numFmtId="1" formatCode="0"/>
    </dxf>
    <dxf>
      <numFmt numFmtId="168" formatCode="[$$-409]#,##0"/>
    </dxf>
    <dxf>
      <numFmt numFmtId="168" formatCode="[$$-409]#,##0"/>
    </dxf>
    <dxf>
      <numFmt numFmtId="167" formatCode="\$#,##0;\(\$#,##0\);\$#,##0"/>
    </dxf>
    <dxf>
      <numFmt numFmtId="167" formatCode="\$#,##0;\(\$#,##0\);\$#,##0"/>
    </dxf>
    <dxf>
      <numFmt numFmtId="1" formatCode="0"/>
    </dxf>
    <dxf>
      <numFmt numFmtId="168" formatCode="[$$-409]#,##0"/>
    </dxf>
    <dxf>
      <numFmt numFmtId="168" formatCode="[$$-409]#,##0"/>
    </dxf>
    <dxf>
      <numFmt numFmtId="168" formatCode="[$$-409]#,##0"/>
    </dxf>
    <dxf>
      <numFmt numFmtId="168" formatCode="[$$-409]#,##0"/>
    </dxf>
    <dxf>
      <numFmt numFmtId="168" formatCode="[$$-409]#,##0"/>
    </dxf>
    <dxf>
      <numFmt numFmtId="168" formatCode="[$$-409]#,##0"/>
    </dxf>
    <dxf>
      <numFmt numFmtId="1" formatCode="0"/>
    </dxf>
    <dxf>
      <numFmt numFmtId="1" formatCode="0"/>
    </dxf>
    <dxf>
      <numFmt numFmtId="168" formatCode="[$$-409]#,##0"/>
    </dxf>
    <dxf>
      <numFmt numFmtId="168" formatCode="[$$-409]#,##0"/>
    </dxf>
    <dxf>
      <numFmt numFmtId="167" formatCode="\$#,##0;\(\$#,##0\);\$#,##0"/>
    </dxf>
    <dxf>
      <numFmt numFmtId="167" formatCode="\$#,##0;\(\$#,##0\);\$#,##0"/>
    </dxf>
    <dxf>
      <numFmt numFmtId="1" formatCode="0"/>
    </dxf>
    <dxf>
      <numFmt numFmtId="168" formatCode="[$$-409]#,##0"/>
    </dxf>
    <dxf>
      <numFmt numFmtId="168" formatCode="[$$-409]#,##0"/>
    </dxf>
    <dxf>
      <numFmt numFmtId="168" formatCode="[$$-409]#,##0"/>
    </dxf>
    <dxf>
      <numFmt numFmtId="168" formatCode="[$$-409]#,##0"/>
    </dxf>
    <dxf>
      <numFmt numFmtId="168" formatCode="[$$-409]#,##0"/>
    </dxf>
    <dxf>
      <numFmt numFmtId="168" formatCode="[$$-409]#,##0"/>
    </dxf>
    <dxf>
      <numFmt numFmtId="1" formatCode="0"/>
    </dxf>
    <dxf>
      <numFmt numFmtId="1" formatCode="0"/>
    </dxf>
    <dxf>
      <numFmt numFmtId="168" formatCode="[$$-409]#,##0"/>
    </dxf>
    <dxf>
      <numFmt numFmtId="168" formatCode="[$$-409]#,##0"/>
    </dxf>
    <dxf>
      <numFmt numFmtId="167" formatCode="\$#,##0;\(\$#,##0\);\$#,##0"/>
    </dxf>
    <dxf>
      <numFmt numFmtId="167" formatCode="\$#,##0;\(\$#,##0\);\$#,##0"/>
    </dxf>
    <dxf>
      <numFmt numFmtId="1" formatCode="0"/>
    </dxf>
    <dxf>
      <numFmt numFmtId="168" formatCode="[$$-409]#,##0"/>
    </dxf>
    <dxf>
      <numFmt numFmtId="168" formatCode="[$$-409]#,##0"/>
    </dxf>
    <dxf>
      <numFmt numFmtId="168" formatCode="[$$-409]#,##0"/>
    </dxf>
    <dxf>
      <numFmt numFmtId="168" formatCode="[$$-409]#,##0"/>
    </dxf>
    <dxf>
      <numFmt numFmtId="168" formatCode="[$$-409]#,##0"/>
    </dxf>
    <dxf>
      <numFmt numFmtId="168" formatCode="[$$-409]#,##0"/>
    </dxf>
    <dxf>
      <numFmt numFmtId="1" formatCode="0"/>
    </dxf>
    <dxf>
      <numFmt numFmtId="1" formatCode="0"/>
    </dxf>
    <dxf>
      <numFmt numFmtId="168" formatCode="[$$-409]#,##0"/>
    </dxf>
    <dxf>
      <numFmt numFmtId="168" formatCode="[$$-409]#,##0"/>
    </dxf>
    <dxf>
      <numFmt numFmtId="167" formatCode="\$#,##0;\(\$#,##0\);\$#,##0"/>
    </dxf>
    <dxf>
      <numFmt numFmtId="167" formatCode="\$#,##0;\(\$#,##0\);\$#,##0"/>
    </dxf>
    <dxf>
      <numFmt numFmtId="1" formatCode="0"/>
    </dxf>
    <dxf>
      <numFmt numFmtId="168" formatCode="[$$-409]#,##0"/>
    </dxf>
    <dxf>
      <numFmt numFmtId="168" formatCode="[$$-409]#,##0"/>
    </dxf>
    <dxf>
      <numFmt numFmtId="168" formatCode="[$$-409]#,##0"/>
    </dxf>
    <dxf>
      <numFmt numFmtId="168" formatCode="[$$-409]#,##0"/>
    </dxf>
    <dxf>
      <numFmt numFmtId="168" formatCode="[$$-409]#,##0"/>
    </dxf>
    <dxf>
      <numFmt numFmtId="168" formatCode="[$$-409]#,##0"/>
    </dxf>
    <dxf>
      <numFmt numFmtId="1" formatCode="0"/>
    </dxf>
    <dxf>
      <numFmt numFmtId="1" formatCode="0"/>
    </dxf>
    <dxf>
      <numFmt numFmtId="168" formatCode="[$$-409]#,##0"/>
    </dxf>
    <dxf>
      <numFmt numFmtId="168" formatCode="[$$-409]#,##0"/>
    </dxf>
    <dxf>
      <numFmt numFmtId="167" formatCode="\$#,##0;\(\$#,##0\);\$#,##0"/>
    </dxf>
    <dxf>
      <numFmt numFmtId="167" formatCode="\$#,##0;\(\$#,##0\);\$#,##0"/>
    </dxf>
    <dxf>
      <numFmt numFmtId="1" formatCode="0"/>
    </dxf>
    <dxf>
      <numFmt numFmtId="168" formatCode="[$$-409]#,##0"/>
    </dxf>
    <dxf>
      <numFmt numFmtId="168" formatCode="[$$-409]#,##0"/>
    </dxf>
    <dxf>
      <numFmt numFmtId="168" formatCode="[$$-409]#,##0"/>
    </dxf>
    <dxf>
      <numFmt numFmtId="168" formatCode="[$$-409]#,##0"/>
    </dxf>
    <dxf>
      <numFmt numFmtId="168" formatCode="[$$-409]#,##0"/>
    </dxf>
    <dxf>
      <numFmt numFmtId="168" formatCode="[$$-409]#,##0"/>
    </dxf>
    <dxf>
      <numFmt numFmtId="1" formatCode="0"/>
    </dxf>
    <dxf>
      <numFmt numFmtId="1" formatCode="0"/>
    </dxf>
    <dxf>
      <numFmt numFmtId="168" formatCode="[$$-409]#,##0"/>
    </dxf>
    <dxf>
      <numFmt numFmtId="168" formatCode="[$$-409]#,##0"/>
    </dxf>
    <dxf>
      <numFmt numFmtId="167" formatCode="\$#,##0;\(\$#,##0\);\$#,##0"/>
    </dxf>
    <dxf>
      <numFmt numFmtId="167" formatCode="\$#,##0;\(\$#,##0\);\$#,##0"/>
    </dxf>
    <dxf>
      <numFmt numFmtId="1" formatCode="0"/>
    </dxf>
    <dxf>
      <numFmt numFmtId="168" formatCode="[$$-409]#,##0"/>
    </dxf>
    <dxf>
      <numFmt numFmtId="168" formatCode="[$$-409]#,##0"/>
    </dxf>
    <dxf>
      <numFmt numFmtId="168" formatCode="[$$-409]#,##0"/>
    </dxf>
    <dxf>
      <numFmt numFmtId="168" formatCode="[$$-409]#,##0"/>
    </dxf>
    <dxf>
      <numFmt numFmtId="168" formatCode="[$$-409]#,##0"/>
    </dxf>
    <dxf>
      <numFmt numFmtId="168" formatCode="[$$-409]#,##0"/>
    </dxf>
    <dxf>
      <numFmt numFmtId="1" formatCode="0"/>
    </dxf>
    <dxf>
      <numFmt numFmtId="1" formatCode="0"/>
    </dxf>
    <dxf>
      <numFmt numFmtId="168" formatCode="[$$-409]#,##0"/>
    </dxf>
    <dxf>
      <numFmt numFmtId="168" formatCode="[$$-409]#,##0"/>
    </dxf>
    <dxf>
      <numFmt numFmtId="167" formatCode="\$#,##0;\(\$#,##0\);\$#,##0"/>
    </dxf>
    <dxf>
      <numFmt numFmtId="167" formatCode="\$#,##0;\(\$#,##0\);\$#,##0"/>
    </dxf>
    <dxf>
      <numFmt numFmtId="1" formatCode="0"/>
    </dxf>
    <dxf>
      <numFmt numFmtId="168" formatCode="[$$-409]#,##0"/>
    </dxf>
    <dxf>
      <numFmt numFmtId="168" formatCode="[$$-409]#,##0"/>
    </dxf>
    <dxf>
      <numFmt numFmtId="168" formatCode="[$$-409]#,##0"/>
    </dxf>
    <dxf>
      <numFmt numFmtId="168" formatCode="[$$-409]#,##0"/>
    </dxf>
    <dxf>
      <numFmt numFmtId="168" formatCode="[$$-409]#,##0"/>
    </dxf>
    <dxf>
      <numFmt numFmtId="168" formatCode="[$$-409]#,##0"/>
    </dxf>
    <dxf>
      <numFmt numFmtId="1" formatCode="0"/>
    </dxf>
    <dxf>
      <numFmt numFmtId="1" formatCode="0"/>
    </dxf>
    <dxf>
      <numFmt numFmtId="168" formatCode="[$$-409]#,##0"/>
    </dxf>
    <dxf>
      <numFmt numFmtId="168" formatCode="[$$-409]#,##0"/>
    </dxf>
    <dxf>
      <numFmt numFmtId="167" formatCode="\$#,##0;\(\$#,##0\);\$#,##0"/>
    </dxf>
    <dxf>
      <numFmt numFmtId="167" formatCode="\$#,##0;\(\$#,##0\);\$#,##0"/>
    </dxf>
    <dxf>
      <numFmt numFmtId="1" formatCode="0"/>
    </dxf>
    <dxf>
      <numFmt numFmtId="168" formatCode="[$$-409]#,##0"/>
    </dxf>
    <dxf>
      <numFmt numFmtId="168" formatCode="[$$-409]#,##0"/>
    </dxf>
    <dxf>
      <numFmt numFmtId="168" formatCode="[$$-409]#,##0"/>
    </dxf>
    <dxf>
      <numFmt numFmtId="168" formatCode="[$$-409]#,##0"/>
    </dxf>
    <dxf>
      <numFmt numFmtId="168" formatCode="[$$-409]#,##0"/>
    </dxf>
    <dxf>
      <numFmt numFmtId="168" formatCode="[$$-409]#,##0"/>
    </dxf>
    <dxf>
      <numFmt numFmtId="1" formatCode="0"/>
    </dxf>
    <dxf>
      <numFmt numFmtId="1" formatCode="0"/>
    </dxf>
    <dxf>
      <numFmt numFmtId="168" formatCode="[$$-409]#,##0"/>
    </dxf>
    <dxf>
      <numFmt numFmtId="168" formatCode="[$$-409]#,##0"/>
    </dxf>
    <dxf>
      <numFmt numFmtId="167" formatCode="\$#,##0;\(\$#,##0\);\$#,##0"/>
    </dxf>
    <dxf>
      <numFmt numFmtId="167" formatCode="\$#,##0;\(\$#,##0\);\$#,##0"/>
    </dxf>
    <dxf>
      <numFmt numFmtId="1" formatCode="0"/>
    </dxf>
    <dxf>
      <numFmt numFmtId="168" formatCode="[$$-409]#,##0"/>
    </dxf>
    <dxf>
      <numFmt numFmtId="168" formatCode="[$$-409]#,##0"/>
    </dxf>
    <dxf>
      <numFmt numFmtId="168" formatCode="[$$-409]#,##0"/>
    </dxf>
    <dxf>
      <numFmt numFmtId="168" formatCode="[$$-409]#,##0"/>
    </dxf>
    <dxf>
      <numFmt numFmtId="168" formatCode="[$$-409]#,##0"/>
    </dxf>
    <dxf>
      <numFmt numFmtId="168" formatCode="[$$-409]#,##0"/>
    </dxf>
    <dxf>
      <numFmt numFmtId="1" formatCode="0"/>
    </dxf>
    <dxf>
      <numFmt numFmtId="1" formatCode="0"/>
    </dxf>
    <dxf>
      <numFmt numFmtId="168" formatCode="[$$-409]#,##0"/>
    </dxf>
    <dxf>
      <numFmt numFmtId="168" formatCode="[$$-409]#,##0"/>
    </dxf>
    <dxf>
      <numFmt numFmtId="1" formatCode="0"/>
    </dxf>
    <dxf>
      <numFmt numFmtId="1" formatCode="0"/>
    </dxf>
    <dxf>
      <numFmt numFmtId="167" formatCode="\$#,##0;\(\$#,##0\);\$#,##0"/>
    </dxf>
    <dxf>
      <numFmt numFmtId="167" formatCode="\$#,##0;\(\$#,##0\);\$#,##0"/>
    </dxf>
    <dxf>
      <numFmt numFmtId="1" formatCode="0"/>
    </dxf>
    <dxf>
      <numFmt numFmtId="168" formatCode="[$$-409]#,##0"/>
    </dxf>
    <dxf>
      <numFmt numFmtId="168" formatCode="[$$-409]#,##0"/>
    </dxf>
    <dxf>
      <numFmt numFmtId="168" formatCode="[$$-409]#,##0"/>
    </dxf>
    <dxf>
      <numFmt numFmtId="168" formatCode="[$$-409]#,##0"/>
    </dxf>
    <dxf>
      <numFmt numFmtId="168" formatCode="[$$-409]#,##0"/>
    </dxf>
    <dxf>
      <numFmt numFmtId="168" formatCode="[$$-409]#,##0"/>
    </dxf>
    <dxf>
      <numFmt numFmtId="168" formatCode="[$$-409]#,##0"/>
    </dxf>
    <dxf>
      <numFmt numFmtId="168" formatCode="[$$-409]#,##0"/>
    </dxf>
    <dxf>
      <numFmt numFmtId="168" formatCode="[$$-409]#,##0"/>
    </dxf>
    <dxf>
      <numFmt numFmtId="168" formatCode="[$$-409]#,##0"/>
    </dxf>
    <dxf>
      <numFmt numFmtId="168" formatCode="[$$-409]#,##0"/>
    </dxf>
    <dxf>
      <numFmt numFmtId="168" formatCode="[$$-409]#,##0"/>
    </dxf>
    <dxf>
      <numFmt numFmtId="168" formatCode="[$$-409]#,##0"/>
    </dxf>
    <dxf>
      <numFmt numFmtId="168" formatCode="[$$-409]#,##0"/>
    </dxf>
    <dxf>
      <numFmt numFmtId="168" formatCode="[$$-409]#,##0"/>
    </dxf>
    <dxf>
      <numFmt numFmtId="168" formatCode="[$$-409]#,##0"/>
    </dxf>
    <dxf>
      <numFmt numFmtId="167" formatCode="\$#,##0;\(\$#,##0\);\$#,##0"/>
    </dxf>
    <dxf>
      <numFmt numFmtId="167" formatCode="\$#,##0;\(\$#,##0\);\$#,##0"/>
    </dxf>
    <dxf>
      <numFmt numFmtId="1" formatCode="0"/>
    </dxf>
    <dxf>
      <numFmt numFmtId="1" formatCode="0"/>
    </dxf>
    <dxf>
      <numFmt numFmtId="1" formatCode="0"/>
    </dxf>
    <dxf>
      <font>
        <b/>
        <color theme="1"/>
      </font>
      <border>
        <bottom style="thin">
          <color theme="7"/>
        </bottom>
        <vertical/>
        <horizontal/>
      </border>
    </dxf>
    <dxf>
      <font>
        <color rgb="FFFEFEBA"/>
      </font>
      <border diagonalUp="0" diagonalDown="0">
        <left/>
        <right/>
        <top/>
        <bottom/>
        <vertical/>
        <horizontal/>
      </border>
    </dxf>
  </dxfs>
  <tableStyles count="2" defaultTableStyle="TableStyleMedium2" defaultPivotStyle="PivotStyleLight16">
    <tableStyle name="SlicerStyleLight4 2" pivot="0" table="0" count="10" xr9:uid="{2801CBA2-C5AD-4131-83BB-6F21E6420DF5}">
      <tableStyleElement type="wholeTable" dxfId="250"/>
      <tableStyleElement type="headerRow" dxfId="249"/>
    </tableStyle>
    <tableStyle name="SlicerStyleLight4 2 2" pivot="0" table="0" count="10" xr9:uid="{A6D1A65E-F09A-4076-AD02-57D585DA01A5}">
      <tableStyleElement type="wholeTable" dxfId="1"/>
      <tableStyleElement type="headerRow" dxfId="0"/>
    </tableStyle>
  </tableStyles>
  <colors>
    <mruColors>
      <color rgb="FFFFF4D1"/>
      <color rgb="FFF2D06B"/>
      <color rgb="FFFAEBC2"/>
      <color rgb="FFECB314"/>
      <color rgb="FFFDF703"/>
      <color rgb="FFFEFEBA"/>
      <color rgb="FFF2ECCE"/>
    </mruColors>
  </colors>
  <extLst>
    <ext xmlns:x14="http://schemas.microsoft.com/office/spreadsheetml/2009/9/main" uri="{46F421CA-312F-682f-3DD2-61675219B42D}">
      <x14:dxfs count="4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theme="2" tint="-0.24994659260841701"/>
          </font>
          <fill>
            <patternFill patternType="solid">
              <fgColor theme="7" tint="0.59999389629810485"/>
              <bgColor rgb="FFFFF4D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val="0"/>
            <color theme="0" tint="-4.9989318521683403E-2"/>
          </font>
          <fill>
            <patternFill patternType="solid">
              <fgColor rgb="FFFFFFFF"/>
              <bgColor theme="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7" tint="0.59999389629810485"/>
              <bgColor rgb="FFFFF4D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val="0"/>
            <color theme="0" tint="-4.9989318521683403E-2"/>
          </font>
          <fill>
            <patternFill patternType="solid">
              <fgColor rgb="FFFFFFFF"/>
              <bgColor theme="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rgb="FFFFF4D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val="0"/>
            <color theme="0" tint="-4.9989318521683403E-2"/>
          </font>
          <fill>
            <patternFill patternType="solid">
              <fgColor rgb="FFFFFFFF"/>
              <bgColor theme="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4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4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openxmlformats.org/officeDocument/2006/relationships/theme" Target="theme/theme1.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9" Type="http://schemas.openxmlformats.org/officeDocument/2006/relationships/customXml" Target="../customXml/item2.xml"/><Relationship Id="rId11" Type="http://schemas.openxmlformats.org/officeDocument/2006/relationships/pivotCacheDefinition" Target="pivotCache/pivotCacheDefinition9.xml"/><Relationship Id="rId24" Type="http://schemas.openxmlformats.org/officeDocument/2006/relationships/sharedStrings" Target="sharedString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8" Type="http://schemas.openxmlformats.org/officeDocument/2006/relationships/customXml" Target="../customXml/item31.xml"/><Relationship Id="rId5" Type="http://schemas.openxmlformats.org/officeDocument/2006/relationships/pivotCacheDefinition" Target="pivotCache/pivotCacheDefinition3.xml"/><Relationship Id="rId19" Type="http://schemas.microsoft.com/office/2007/relationships/slicerCache" Target="slicerCaches/slicerCache2.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8" Type="http://schemas.openxmlformats.org/officeDocument/2006/relationships/pivotCacheDefinition" Target="pivotCache/pivotCacheDefinition6.xml"/><Relationship Id="rId51" Type="http://schemas.openxmlformats.org/officeDocument/2006/relationships/customXml" Target="../customXml/item24.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openxmlformats.org/officeDocument/2006/relationships/sheetMetadata" Target="metadata.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59" Type="http://schemas.openxmlformats.org/officeDocument/2006/relationships/customXml" Target="../customXml/item32.xml"/><Relationship Id="rId20" Type="http://schemas.microsoft.com/office/2007/relationships/slicerCache" Target="slicerCaches/slicerCache3.xml"/><Relationship Id="rId41" Type="http://schemas.openxmlformats.org/officeDocument/2006/relationships/customXml" Target="../customXml/item14.xml"/><Relationship Id="rId54"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pivotCacheDefinition" Target="pivotCache/pivotCacheDefinition13.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8.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Analysis!$A$11</c:f>
              <c:strCache>
                <c:ptCount val="1"/>
                <c:pt idx="0">
                  <c:v>Churned</c:v>
                </c:pt>
              </c:strCache>
            </c:strRef>
          </c:tx>
          <c:spPr>
            <a:ln>
              <a:noFill/>
            </a:ln>
          </c:spPr>
          <c:dPt>
            <c:idx val="0"/>
            <c:bubble3D val="0"/>
            <c:spPr>
              <a:solidFill>
                <a:srgbClr val="F2D06B"/>
              </a:solidFill>
              <a:ln w="19050">
                <a:noFill/>
              </a:ln>
              <a:effectLst/>
            </c:spPr>
            <c:extLst>
              <c:ext xmlns:c16="http://schemas.microsoft.com/office/drawing/2014/chart" uri="{C3380CC4-5D6E-409C-BE32-E72D297353CC}">
                <c16:uniqueId val="{00000001-AECE-4C07-918F-286EA10C30BB}"/>
              </c:ext>
            </c:extLst>
          </c:dPt>
          <c:dPt>
            <c:idx val="1"/>
            <c:bubble3D val="0"/>
            <c:spPr>
              <a:solidFill>
                <a:schemeClr val="bg2">
                  <a:lumMod val="90000"/>
                </a:schemeClr>
              </a:solidFill>
              <a:ln w="19050">
                <a:noFill/>
              </a:ln>
              <a:effectLst/>
            </c:spPr>
            <c:extLst>
              <c:ext xmlns:c16="http://schemas.microsoft.com/office/drawing/2014/chart" uri="{C3380CC4-5D6E-409C-BE32-E72D297353CC}">
                <c16:uniqueId val="{00000003-AECE-4C07-918F-286EA10C30BB}"/>
              </c:ext>
            </c:extLst>
          </c:dPt>
          <c:val>
            <c:numRef>
              <c:f>Analysis!$B$11:$C$11</c:f>
              <c:numCache>
                <c:formatCode>0%</c:formatCode>
                <c:ptCount val="2"/>
                <c:pt idx="0">
                  <c:v>0.29158110882956878</c:v>
                </c:pt>
                <c:pt idx="1">
                  <c:v>0.71</c:v>
                </c:pt>
              </c:numCache>
            </c:numRef>
          </c:val>
          <c:extLst>
            <c:ext xmlns:c16="http://schemas.microsoft.com/office/drawing/2014/chart" uri="{C3380CC4-5D6E-409C-BE32-E72D297353CC}">
              <c16:uniqueId val="{00000004-AECE-4C07-918F-286EA10C30B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[MTN.xlsx]Analysis!sub date useage</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2D0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Analysis!$D$23</c:f>
              <c:strCache>
                <c:ptCount val="1"/>
                <c:pt idx="0">
                  <c:v>Total</c:v>
                </c:pt>
              </c:strCache>
            </c:strRef>
          </c:tx>
          <c:spPr>
            <a:solidFill>
              <a:srgbClr val="F2D06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Analysis!$C$24:$C$33</c:f>
              <c:strCache>
                <c:ptCount val="10"/>
                <c:pt idx="0">
                  <c:v>60GB Monthly Broadband Plan</c:v>
                </c:pt>
                <c:pt idx="1">
                  <c:v>300GB FUP Monthly Unlimited</c:v>
                </c:pt>
                <c:pt idx="2">
                  <c:v>165GB Monthly Plan</c:v>
                </c:pt>
                <c:pt idx="3">
                  <c:v>30GB Monthly Broadband Plan</c:v>
                </c:pt>
                <c:pt idx="4">
                  <c:v>120GB Monthly Broadband Plan</c:v>
                </c:pt>
                <c:pt idx="5">
                  <c:v>10GB+10mins Monthly Plan</c:v>
                </c:pt>
                <c:pt idx="6">
                  <c:v>150GB FUP Monthly Unlimited</c:v>
                </c:pt>
                <c:pt idx="7">
                  <c:v>65GB Monthly Plan</c:v>
                </c:pt>
                <c:pt idx="8">
                  <c:v>25GB Monthly Plan</c:v>
                </c:pt>
                <c:pt idx="9">
                  <c:v>12.5GB Monthly Plan</c:v>
                </c:pt>
              </c:strCache>
            </c:strRef>
          </c:cat>
          <c:val>
            <c:numRef>
              <c:f>Analysis!$D$24:$D$33</c:f>
              <c:numCache>
                <c:formatCode>0</c:formatCode>
                <c:ptCount val="10"/>
                <c:pt idx="0">
                  <c:v>8041.42</c:v>
                </c:pt>
                <c:pt idx="1">
                  <c:v>7673.88</c:v>
                </c:pt>
                <c:pt idx="2">
                  <c:v>7547.26</c:v>
                </c:pt>
                <c:pt idx="3">
                  <c:v>7469.4</c:v>
                </c:pt>
                <c:pt idx="4">
                  <c:v>7271.58</c:v>
                </c:pt>
                <c:pt idx="5">
                  <c:v>7174.72</c:v>
                </c:pt>
                <c:pt idx="6">
                  <c:v>7088.34</c:v>
                </c:pt>
                <c:pt idx="7">
                  <c:v>5616.12</c:v>
                </c:pt>
                <c:pt idx="8">
                  <c:v>4846.7299999999996</c:v>
                </c:pt>
                <c:pt idx="9">
                  <c:v>3312</c:v>
                </c:pt>
              </c:numCache>
            </c:numRef>
          </c:val>
          <c:extLst>
            <c:ext xmlns:c16="http://schemas.microsoft.com/office/drawing/2014/chart" uri="{C3380CC4-5D6E-409C-BE32-E72D297353CC}">
              <c16:uniqueId val="{00000000-1A68-4C68-928B-A41B04354A9A}"/>
            </c:ext>
          </c:extLst>
        </c:ser>
        <c:dLbls>
          <c:dLblPos val="outEnd"/>
          <c:showLegendKey val="0"/>
          <c:showVal val="1"/>
          <c:showCatName val="0"/>
          <c:showSerName val="0"/>
          <c:showPercent val="0"/>
          <c:showBubbleSize val="0"/>
        </c:dLbls>
        <c:gapWidth val="142"/>
        <c:axId val="2063915055"/>
        <c:axId val="2063916015"/>
      </c:barChart>
      <c:catAx>
        <c:axId val="206391505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solidFill>
                <a:latin typeface="Garamond" panose="02020404030301010803" pitchFamily="18" charset="0"/>
                <a:ea typeface="+mn-ea"/>
                <a:cs typeface="+mn-cs"/>
              </a:defRPr>
            </a:pPr>
            <a:endParaRPr lang="en-NG"/>
          </a:p>
        </c:txPr>
        <c:crossAx val="2063916015"/>
        <c:crosses val="autoZero"/>
        <c:auto val="1"/>
        <c:lblAlgn val="ctr"/>
        <c:lblOffset val="100"/>
        <c:noMultiLvlLbl val="0"/>
      </c:catAx>
      <c:valAx>
        <c:axId val="2063916015"/>
        <c:scaling>
          <c:orientation val="minMax"/>
        </c:scaling>
        <c:delete val="1"/>
        <c:axPos val="b"/>
        <c:numFmt formatCode="0" sourceLinked="1"/>
        <c:majorTickMark val="none"/>
        <c:minorTickMark val="none"/>
        <c:tickLblPos val="nextTo"/>
        <c:crossAx val="2063915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Analysis!$A$12</c:f>
              <c:strCache>
                <c:ptCount val="1"/>
                <c:pt idx="0">
                  <c:v>Not Churned</c:v>
                </c:pt>
              </c:strCache>
            </c:strRef>
          </c:tx>
          <c:spPr>
            <a:ln>
              <a:noFill/>
            </a:ln>
          </c:spPr>
          <c:dPt>
            <c:idx val="0"/>
            <c:bubble3D val="0"/>
            <c:spPr>
              <a:solidFill>
                <a:srgbClr val="F2D06B"/>
              </a:solidFill>
              <a:ln w="19050">
                <a:noFill/>
              </a:ln>
              <a:effectLst/>
            </c:spPr>
            <c:extLst>
              <c:ext xmlns:c16="http://schemas.microsoft.com/office/drawing/2014/chart" uri="{C3380CC4-5D6E-409C-BE32-E72D297353CC}">
                <c16:uniqueId val="{00000001-AECE-4C07-918F-286EA10C30BB}"/>
              </c:ext>
            </c:extLst>
          </c:dPt>
          <c:dPt>
            <c:idx val="1"/>
            <c:bubble3D val="0"/>
            <c:spPr>
              <a:solidFill>
                <a:schemeClr val="bg2">
                  <a:lumMod val="90000"/>
                </a:schemeClr>
              </a:solidFill>
              <a:ln w="19050">
                <a:noFill/>
              </a:ln>
              <a:effectLst/>
            </c:spPr>
            <c:extLst>
              <c:ext xmlns:c16="http://schemas.microsoft.com/office/drawing/2014/chart" uri="{C3380CC4-5D6E-409C-BE32-E72D297353CC}">
                <c16:uniqueId val="{00000003-AECE-4C07-918F-286EA10C30BB}"/>
              </c:ext>
            </c:extLst>
          </c:dPt>
          <c:val>
            <c:numRef>
              <c:f>Analysis!$B$12:$C$12</c:f>
              <c:numCache>
                <c:formatCode>0%</c:formatCode>
                <c:ptCount val="2"/>
                <c:pt idx="0">
                  <c:v>0.70841889117043122</c:v>
                </c:pt>
                <c:pt idx="1">
                  <c:v>0.28999999999999998</c:v>
                </c:pt>
              </c:numCache>
            </c:numRef>
          </c:val>
          <c:extLst>
            <c:ext xmlns:c16="http://schemas.microsoft.com/office/drawing/2014/chart" uri="{C3380CC4-5D6E-409C-BE32-E72D297353CC}">
              <c16:uniqueId val="{00000004-AECE-4C07-918F-286EA10C30B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Analysis!$E$19</c:f>
              <c:strCache>
                <c:ptCount val="1"/>
                <c:pt idx="0">
                  <c:v>weekday</c:v>
                </c:pt>
              </c:strCache>
            </c:strRef>
          </c:tx>
          <c:spPr>
            <a:ln>
              <a:noFill/>
            </a:ln>
          </c:spPr>
          <c:dPt>
            <c:idx val="0"/>
            <c:bubble3D val="0"/>
            <c:spPr>
              <a:solidFill>
                <a:srgbClr val="F2D06B"/>
              </a:solidFill>
              <a:ln w="19050">
                <a:noFill/>
              </a:ln>
              <a:effectLst/>
            </c:spPr>
            <c:extLst>
              <c:ext xmlns:c16="http://schemas.microsoft.com/office/drawing/2014/chart" uri="{C3380CC4-5D6E-409C-BE32-E72D297353CC}">
                <c16:uniqueId val="{00000001-5032-4D8E-8B9D-1E7DD23375EC}"/>
              </c:ext>
            </c:extLst>
          </c:dPt>
          <c:dPt>
            <c:idx val="1"/>
            <c:bubble3D val="0"/>
            <c:spPr>
              <a:solidFill>
                <a:schemeClr val="bg2">
                  <a:lumMod val="90000"/>
                </a:schemeClr>
              </a:solidFill>
              <a:ln w="19050">
                <a:noFill/>
              </a:ln>
              <a:effectLst/>
            </c:spPr>
            <c:extLst>
              <c:ext xmlns:c16="http://schemas.microsoft.com/office/drawing/2014/chart" uri="{C3380CC4-5D6E-409C-BE32-E72D297353CC}">
                <c16:uniqueId val="{00000003-5032-4D8E-8B9D-1E7DD23375EC}"/>
              </c:ext>
            </c:extLst>
          </c:dPt>
          <c:val>
            <c:numRef>
              <c:f>Analysis!$F$19:$G$19</c:f>
              <c:numCache>
                <c:formatCode>0%</c:formatCode>
                <c:ptCount val="2"/>
                <c:pt idx="0">
                  <c:v>0.31786843322387659</c:v>
                </c:pt>
                <c:pt idx="1">
                  <c:v>0.68</c:v>
                </c:pt>
              </c:numCache>
            </c:numRef>
          </c:val>
          <c:extLst>
            <c:ext xmlns:c16="http://schemas.microsoft.com/office/drawing/2014/chart" uri="{C3380CC4-5D6E-409C-BE32-E72D297353CC}">
              <c16:uniqueId val="{00000004-5032-4D8E-8B9D-1E7DD23375E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445903924962421E-2"/>
          <c:y val="0.13148016497937759"/>
          <c:w val="0.88192871181858101"/>
          <c:h val="0.86028602180057789"/>
        </c:manualLayout>
      </c:layout>
      <c:doughnutChart>
        <c:varyColors val="1"/>
        <c:ser>
          <c:idx val="0"/>
          <c:order val="0"/>
          <c:tx>
            <c:strRef>
              <c:f>Analysis!$E$20</c:f>
              <c:strCache>
                <c:ptCount val="1"/>
                <c:pt idx="0">
                  <c:v>weekend</c:v>
                </c:pt>
              </c:strCache>
            </c:strRef>
          </c:tx>
          <c:dPt>
            <c:idx val="0"/>
            <c:bubble3D val="0"/>
            <c:spPr>
              <a:solidFill>
                <a:srgbClr val="F2D06B"/>
              </a:solidFill>
              <a:ln w="19050">
                <a:noFill/>
              </a:ln>
              <a:effectLst/>
            </c:spPr>
            <c:extLst>
              <c:ext xmlns:c16="http://schemas.microsoft.com/office/drawing/2014/chart" uri="{C3380CC4-5D6E-409C-BE32-E72D297353CC}">
                <c16:uniqueId val="{00000001-529C-436B-8E63-67A22974D872}"/>
              </c:ext>
            </c:extLst>
          </c:dPt>
          <c:dPt>
            <c:idx val="1"/>
            <c:bubble3D val="0"/>
            <c:spPr>
              <a:solidFill>
                <a:schemeClr val="bg2">
                  <a:lumMod val="90000"/>
                </a:schemeClr>
              </a:solidFill>
              <a:ln w="19050">
                <a:noFill/>
              </a:ln>
              <a:effectLst/>
            </c:spPr>
            <c:extLst>
              <c:ext xmlns:c16="http://schemas.microsoft.com/office/drawing/2014/chart" uri="{C3380CC4-5D6E-409C-BE32-E72D297353CC}">
                <c16:uniqueId val="{00000003-529C-436B-8E63-67A22974D872}"/>
              </c:ext>
            </c:extLst>
          </c:dPt>
          <c:val>
            <c:numRef>
              <c:f>Analysis!$F$20:$G$20</c:f>
              <c:numCache>
                <c:formatCode>0%</c:formatCode>
                <c:ptCount val="2"/>
                <c:pt idx="0">
                  <c:v>0.68213156677612341</c:v>
                </c:pt>
                <c:pt idx="1">
                  <c:v>0.32</c:v>
                </c:pt>
              </c:numCache>
            </c:numRef>
          </c:val>
          <c:extLst>
            <c:ext xmlns:c16="http://schemas.microsoft.com/office/drawing/2014/chart" uri="{C3380CC4-5D6E-409C-BE32-E72D297353CC}">
              <c16:uniqueId val="{00000004-529C-436B-8E63-67A22974D87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013040097814353"/>
          <c:y val="4.8572809635194392E-2"/>
          <c:w val="0.4459804251956534"/>
          <c:h val="0.94311110966321121"/>
        </c:manualLayout>
      </c:layout>
      <c:barChart>
        <c:barDir val="bar"/>
        <c:grouping val="clustered"/>
        <c:varyColors val="0"/>
        <c:ser>
          <c:idx val="0"/>
          <c:order val="0"/>
          <c:tx>
            <c:strRef>
              <c:f>Analysis!$K$19</c:f>
              <c:strCache>
                <c:ptCount val="1"/>
                <c:pt idx="0">
                  <c:v>Total Revenew</c:v>
                </c:pt>
              </c:strCache>
            </c:strRef>
          </c:tx>
          <c:spPr>
            <a:solidFill>
              <a:srgbClr val="F2D06B"/>
            </a:solidFill>
            <a:ln>
              <a:noFill/>
            </a:ln>
            <a:effectLst/>
          </c:spPr>
          <c:invertIfNegative val="0"/>
          <c:dLbls>
            <c:dLbl>
              <c:idx val="0"/>
              <c:tx>
                <c:rich>
                  <a:bodyPr/>
                  <a:lstStyle/>
                  <a:p>
                    <a:fld id="{624D5F6B-B279-4402-9B54-8D20831B2000}" type="CELLRANGE">
                      <a:rPr lang="en-US"/>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343-4989-8F5C-E6E970A6CE56}"/>
                </c:ext>
              </c:extLst>
            </c:dLbl>
            <c:dLbl>
              <c:idx val="1"/>
              <c:tx>
                <c:rich>
                  <a:bodyPr/>
                  <a:lstStyle/>
                  <a:p>
                    <a:fld id="{ED9D5E8D-0868-43CD-B66E-9B4970BEDA65}" type="CELLRANGE">
                      <a:rPr lang="en-US"/>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343-4989-8F5C-E6E970A6CE56}"/>
                </c:ext>
              </c:extLst>
            </c:dLbl>
            <c:dLbl>
              <c:idx val="2"/>
              <c:tx>
                <c:rich>
                  <a:bodyPr/>
                  <a:lstStyle/>
                  <a:p>
                    <a:fld id="{6E793428-EE03-46B4-854A-DBC872CD8B8F}" type="CELLRANGE">
                      <a:rPr lang="en-US"/>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343-4989-8F5C-E6E970A6CE56}"/>
                </c:ext>
              </c:extLst>
            </c:dLbl>
            <c:dLbl>
              <c:idx val="3"/>
              <c:tx>
                <c:rich>
                  <a:bodyPr/>
                  <a:lstStyle/>
                  <a:p>
                    <a:fld id="{0969C90E-88E0-40BE-A4FE-64027A743512}" type="CELLRANGE">
                      <a:rPr lang="en-US"/>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8343-4989-8F5C-E6E970A6CE56}"/>
                </c:ext>
              </c:extLst>
            </c:dLbl>
            <c:dLbl>
              <c:idx val="4"/>
              <c:tx>
                <c:rich>
                  <a:bodyPr/>
                  <a:lstStyle/>
                  <a:p>
                    <a:fld id="{2AEBB673-B1E9-4C99-802F-975C880EA480}" type="CELLRANGE">
                      <a:rPr lang="en-US"/>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8343-4989-8F5C-E6E970A6CE56}"/>
                </c:ext>
              </c:extLst>
            </c:dLbl>
            <c:dLbl>
              <c:idx val="5"/>
              <c:tx>
                <c:rich>
                  <a:bodyPr/>
                  <a:lstStyle/>
                  <a:p>
                    <a:fld id="{335DEF36-20E4-4A24-AF20-A1A0B1037486}" type="CELLRANGE">
                      <a:rPr lang="en-US"/>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8343-4989-8F5C-E6E970A6CE56}"/>
                </c:ext>
              </c:extLst>
            </c:dLbl>
            <c:dLbl>
              <c:idx val="6"/>
              <c:tx>
                <c:rich>
                  <a:bodyPr/>
                  <a:lstStyle/>
                  <a:p>
                    <a:fld id="{DD1B038B-04A1-4E11-9D30-BFBC67B038A1}" type="CELLRANGE">
                      <a:rPr lang="en-US"/>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8343-4989-8F5C-E6E970A6CE56}"/>
                </c:ext>
              </c:extLst>
            </c:dLbl>
            <c:dLbl>
              <c:idx val="7"/>
              <c:tx>
                <c:rich>
                  <a:bodyPr/>
                  <a:lstStyle/>
                  <a:p>
                    <a:fld id="{AA7DDC8B-9D4B-4E5C-87AA-FFF017FF2CA6}" type="CELLRANGE">
                      <a:rPr lang="en-US"/>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8343-4989-8F5C-E6E970A6CE56}"/>
                </c:ext>
              </c:extLst>
            </c:dLbl>
            <c:dLbl>
              <c:idx val="8"/>
              <c:tx>
                <c:rich>
                  <a:bodyPr/>
                  <a:lstStyle/>
                  <a:p>
                    <a:fld id="{9B821095-4DFD-4146-BFA9-1A1E779D43B2}" type="CELLRANGE">
                      <a:rPr lang="en-US"/>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8343-4989-8F5C-E6E970A6CE5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Analysis!$J$20:$J$28</c:f>
              <c:strCache>
                <c:ptCount val="9"/>
                <c:pt idx="0">
                  <c:v>1.5TB Yearly Broadband Plan</c:v>
                </c:pt>
                <c:pt idx="1">
                  <c:v>165GB Monthly Plan</c:v>
                </c:pt>
                <c:pt idx="2">
                  <c:v>300GB FUP Monthly Unlimited</c:v>
                </c:pt>
                <c:pt idx="3">
                  <c:v>150GB FUP Monthly Unlimited</c:v>
                </c:pt>
                <c:pt idx="4">
                  <c:v>450GB 3-Month Broadband Plan</c:v>
                </c:pt>
                <c:pt idx="5">
                  <c:v>120GB Monthly Broadband Plan</c:v>
                </c:pt>
                <c:pt idx="6">
                  <c:v>60GB Monthly Broadband Plan</c:v>
                </c:pt>
                <c:pt idx="7">
                  <c:v>65GB Monthly Plan</c:v>
                </c:pt>
                <c:pt idx="8">
                  <c:v>200GB Monthly Broadband Plan</c:v>
                </c:pt>
              </c:strCache>
            </c:strRef>
          </c:cat>
          <c:val>
            <c:numRef>
              <c:f>Analysis!$K$20:$K$28</c:f>
              <c:numCache>
                <c:formatCode>General</c:formatCode>
                <c:ptCount val="9"/>
                <c:pt idx="0">
                  <c:v>40200000</c:v>
                </c:pt>
                <c:pt idx="1">
                  <c:v>26250000</c:v>
                </c:pt>
                <c:pt idx="2">
                  <c:v>25770000</c:v>
                </c:pt>
                <c:pt idx="3">
                  <c:v>18980000</c:v>
                </c:pt>
                <c:pt idx="4">
                  <c:v>18375000</c:v>
                </c:pt>
                <c:pt idx="5">
                  <c:v>15960000</c:v>
                </c:pt>
                <c:pt idx="6">
                  <c:v>13180500</c:v>
                </c:pt>
                <c:pt idx="7">
                  <c:v>9312000</c:v>
                </c:pt>
                <c:pt idx="8">
                  <c:v>8500000</c:v>
                </c:pt>
              </c:numCache>
            </c:numRef>
          </c:val>
          <c:extLst>
            <c:ext xmlns:c15="http://schemas.microsoft.com/office/drawing/2012/chart" uri="{02D57815-91ED-43cb-92C2-25804820EDAC}">
              <c15:datalabelsRange>
                <c15:f>Analysis!$L$20:$L$28</c15:f>
                <c15:dlblRangeCache>
                  <c:ptCount val="9"/>
                  <c:pt idx="0">
                    <c:v>$40M</c:v>
                  </c:pt>
                  <c:pt idx="1">
                    <c:v>$26M</c:v>
                  </c:pt>
                  <c:pt idx="2">
                    <c:v>$26M</c:v>
                  </c:pt>
                  <c:pt idx="3">
                    <c:v>$19M</c:v>
                  </c:pt>
                  <c:pt idx="4">
                    <c:v>$18M</c:v>
                  </c:pt>
                  <c:pt idx="5">
                    <c:v>$16M</c:v>
                  </c:pt>
                  <c:pt idx="6">
                    <c:v>$13M</c:v>
                  </c:pt>
                  <c:pt idx="7">
                    <c:v>$9M</c:v>
                  </c:pt>
                  <c:pt idx="8">
                    <c:v>$9M</c:v>
                  </c:pt>
                </c15:dlblRangeCache>
              </c15:datalabelsRange>
            </c:ext>
            <c:ext xmlns:c16="http://schemas.microsoft.com/office/drawing/2014/chart" uri="{C3380CC4-5D6E-409C-BE32-E72D297353CC}">
              <c16:uniqueId val="{00000000-8343-4989-8F5C-E6E970A6CE56}"/>
            </c:ext>
          </c:extLst>
        </c:ser>
        <c:dLbls>
          <c:showLegendKey val="0"/>
          <c:showVal val="0"/>
          <c:showCatName val="0"/>
          <c:showSerName val="0"/>
          <c:showPercent val="0"/>
          <c:showBubbleSize val="0"/>
        </c:dLbls>
        <c:gapWidth val="182"/>
        <c:axId val="1085990256"/>
        <c:axId val="1085960016"/>
      </c:barChart>
      <c:catAx>
        <c:axId val="108599025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chemeClr val="tx1"/>
                </a:solidFill>
                <a:latin typeface="Garamond" panose="02020404030301010803" pitchFamily="18" charset="0"/>
                <a:ea typeface="+mn-ea"/>
                <a:cs typeface="+mn-cs"/>
              </a:defRPr>
            </a:pPr>
            <a:endParaRPr lang="en-NG"/>
          </a:p>
        </c:txPr>
        <c:crossAx val="1085960016"/>
        <c:crosses val="autoZero"/>
        <c:auto val="1"/>
        <c:lblAlgn val="ctr"/>
        <c:lblOffset val="100"/>
        <c:noMultiLvlLbl val="0"/>
      </c:catAx>
      <c:valAx>
        <c:axId val="1085960016"/>
        <c:scaling>
          <c:orientation val="minMax"/>
        </c:scaling>
        <c:delete val="1"/>
        <c:axPos val="b"/>
        <c:numFmt formatCode="General" sourceLinked="1"/>
        <c:majorTickMark val="none"/>
        <c:minorTickMark val="none"/>
        <c:tickLblPos val="nextTo"/>
        <c:crossAx val="108599025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[MTN.xlsx]Analysis!product</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2D0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rgbClr val="F2D06B"/>
          </a:solidFill>
          <a:ln>
            <a:no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fld id="{C2A9B014-D0BC-4FEA-B30D-5CBF3A002879}" type="CELLRANGE">
                  <a:rPr lang="en-US"/>
                  <a:pPr>
                    <a:defRPr sz="1050" b="1">
                      <a:solidFill>
                        <a:schemeClr val="tx1"/>
                      </a:solidFill>
                      <a:latin typeface="Garamond" panose="02020404030301010803" pitchFamily="18" charset="0"/>
                    </a:defRPr>
                  </a:pPr>
                  <a:t>[CELLRANGE]</a:t>
                </a:fld>
                <a:endParaRPr lang="en-NG"/>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rgbClr val="F2D06B"/>
          </a:solidFill>
          <a:ln>
            <a:no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fld id="{987C15DD-DAE3-4D44-A7CE-F0E68F8F7683}" type="CELLRANGE">
                  <a:rPr lang="en-US"/>
                  <a:pPr>
                    <a:defRPr sz="1050" b="1">
                      <a:solidFill>
                        <a:schemeClr val="tx1"/>
                      </a:solidFill>
                      <a:latin typeface="Garamond" panose="02020404030301010803" pitchFamily="18" charset="0"/>
                    </a:defRPr>
                  </a:pPr>
                  <a:t>[CELLRANGE]</a:t>
                </a:fld>
                <a:endParaRPr lang="en-NG"/>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rgbClr val="F2D06B"/>
          </a:solidFill>
          <a:ln>
            <a:no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fld id="{AF590C41-71BF-4179-AC44-2675C1CE872A}" type="CELLRANGE">
                  <a:rPr lang="en-US"/>
                  <a:pPr>
                    <a:defRPr sz="1050" b="1">
                      <a:solidFill>
                        <a:schemeClr val="tx1"/>
                      </a:solidFill>
                      <a:latin typeface="Garamond" panose="02020404030301010803" pitchFamily="18" charset="0"/>
                    </a:defRPr>
                  </a:pPr>
                  <a:t>[CELLRANGE]</a:t>
                </a:fld>
                <a:endParaRPr lang="en-NG"/>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rgbClr val="F2D06B"/>
          </a:solidFill>
          <a:ln>
            <a:no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fld id="{09F44E8C-A8DA-49D5-A0D7-A5831578333E}" type="CELLRANGE">
                  <a:rPr lang="en-US"/>
                  <a:pPr>
                    <a:defRPr sz="1050" b="1">
                      <a:solidFill>
                        <a:schemeClr val="tx1"/>
                      </a:solidFill>
                      <a:latin typeface="Garamond" panose="02020404030301010803" pitchFamily="18" charset="0"/>
                    </a:defRPr>
                  </a:pPr>
                  <a:t>[CELLRANGE]</a:t>
                </a:fld>
                <a:endParaRPr lang="en-NG"/>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col"/>
        <c:grouping val="clustered"/>
        <c:varyColors val="0"/>
        <c:ser>
          <c:idx val="0"/>
          <c:order val="0"/>
          <c:tx>
            <c:strRef>
              <c:f>Analysis!$P$2:$P$5</c:f>
              <c:strCache>
                <c:ptCount val="1"/>
                <c:pt idx="0">
                  <c:v>Total</c:v>
                </c:pt>
              </c:strCache>
            </c:strRef>
          </c:tx>
          <c:spPr>
            <a:solidFill>
              <a:srgbClr val="F2D06B"/>
            </a:solidFill>
            <a:ln>
              <a:noFill/>
            </a:ln>
            <a:effectLst/>
          </c:spPr>
          <c:invertIfNegative val="0"/>
          <c:dLbls>
            <c:dLbl>
              <c:idx val="0"/>
              <c:tx>
                <c:rich>
                  <a:bodyPr/>
                  <a:lstStyle/>
                  <a:p>
                    <a:fld id="{C2A9B014-D0BC-4FEA-B30D-5CBF3A002879}" type="CELLRANGE">
                      <a:rPr lang="en-US"/>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C001-4735-BBBC-7FC340FF7BC2}"/>
                </c:ext>
              </c:extLst>
            </c:dLbl>
            <c:dLbl>
              <c:idx val="1"/>
              <c:tx>
                <c:rich>
                  <a:bodyPr/>
                  <a:lstStyle/>
                  <a:p>
                    <a:fld id="{987C15DD-DAE3-4D44-A7CE-F0E68F8F7683}" type="CELLRANGE">
                      <a:rPr lang="en-US"/>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C001-4735-BBBC-7FC340FF7BC2}"/>
                </c:ext>
              </c:extLst>
            </c:dLbl>
            <c:dLbl>
              <c:idx val="2"/>
              <c:tx>
                <c:rich>
                  <a:bodyPr/>
                  <a:lstStyle/>
                  <a:p>
                    <a:fld id="{AF590C41-71BF-4179-AC44-2675C1CE872A}" type="CELLRANGE">
                      <a:rPr lang="en-US"/>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C001-4735-BBBC-7FC340FF7BC2}"/>
                </c:ext>
              </c:extLst>
            </c:dLbl>
            <c:dLbl>
              <c:idx val="3"/>
              <c:tx>
                <c:rich>
                  <a:bodyPr/>
                  <a:lstStyle/>
                  <a:p>
                    <a:fld id="{09F44E8C-A8DA-49D5-A0D7-A5831578333E}" type="CELLRANGE">
                      <a:rPr lang="en-US"/>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C001-4735-BBBC-7FC340FF7BC2}"/>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Analysis!$P$2:$P$5</c:f>
              <c:strCache>
                <c:ptCount val="4"/>
                <c:pt idx="0">
                  <c:v>4G Router</c:v>
                </c:pt>
                <c:pt idx="1">
                  <c:v>5G Broadband Router</c:v>
                </c:pt>
                <c:pt idx="2">
                  <c:v>Broadband MiFi</c:v>
                </c:pt>
                <c:pt idx="3">
                  <c:v>Mobile SIM Card</c:v>
                </c:pt>
              </c:strCache>
            </c:strRef>
          </c:cat>
          <c:val>
            <c:numRef>
              <c:f>Analysis!$P$2:$P$5</c:f>
              <c:numCache>
                <c:formatCode>\$#,##0.00;\(\$#,##0.00\);\$#,##0.00</c:formatCode>
                <c:ptCount val="4"/>
                <c:pt idx="0">
                  <c:v>37028000</c:v>
                </c:pt>
                <c:pt idx="1">
                  <c:v>100818000</c:v>
                </c:pt>
                <c:pt idx="2">
                  <c:v>48067500</c:v>
                </c:pt>
                <c:pt idx="3">
                  <c:v>13434700</c:v>
                </c:pt>
              </c:numCache>
            </c:numRef>
          </c:val>
          <c:extLst>
            <c:ext xmlns:c15="http://schemas.microsoft.com/office/drawing/2012/chart" uri="{02D57815-91ED-43cb-92C2-25804820EDAC}">
              <c15:datalabelsRange>
                <c15:f>Analysis!$P$2:$P$5</c15:f>
                <c15:dlblRangeCache>
                  <c:ptCount val="4"/>
                  <c:pt idx="0">
                    <c:v>$37M</c:v>
                  </c:pt>
                  <c:pt idx="1">
                    <c:v>$101M</c:v>
                  </c:pt>
                  <c:pt idx="2">
                    <c:v>$48M</c:v>
                  </c:pt>
                  <c:pt idx="3">
                    <c:v>$13M</c:v>
                  </c:pt>
                </c15:dlblRangeCache>
              </c15:datalabelsRange>
            </c:ext>
            <c:ext xmlns:c16="http://schemas.microsoft.com/office/drawing/2014/chart" uri="{C3380CC4-5D6E-409C-BE32-E72D297353CC}">
              <c16:uniqueId val="{00000000-C001-4735-BBBC-7FC340FF7BC2}"/>
            </c:ext>
          </c:extLst>
        </c:ser>
        <c:dLbls>
          <c:dLblPos val="outEnd"/>
          <c:showLegendKey val="0"/>
          <c:showVal val="1"/>
          <c:showCatName val="0"/>
          <c:showSerName val="0"/>
          <c:showPercent val="0"/>
          <c:showBubbleSize val="0"/>
        </c:dLbls>
        <c:gapWidth val="219"/>
        <c:overlap val="-27"/>
        <c:axId val="1085996976"/>
        <c:axId val="1086008016"/>
      </c:barChart>
      <c:catAx>
        <c:axId val="108599697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chemeClr val="tx1"/>
                </a:solidFill>
                <a:latin typeface="Garamond" panose="02020404030301010803" pitchFamily="18" charset="0"/>
                <a:ea typeface="+mn-ea"/>
                <a:cs typeface="+mn-cs"/>
              </a:defRPr>
            </a:pPr>
            <a:endParaRPr lang="en-NG"/>
          </a:p>
        </c:txPr>
        <c:crossAx val="1086008016"/>
        <c:crosses val="autoZero"/>
        <c:auto val="1"/>
        <c:lblAlgn val="ctr"/>
        <c:lblOffset val="100"/>
        <c:noMultiLvlLbl val="0"/>
      </c:catAx>
      <c:valAx>
        <c:axId val="1086008016"/>
        <c:scaling>
          <c:orientation val="minMax"/>
        </c:scaling>
        <c:delete val="1"/>
        <c:axPos val="l"/>
        <c:numFmt formatCode="\$#,##0.00;\(\$#,##0.00\);\$#,##0.00" sourceLinked="1"/>
        <c:majorTickMark val="none"/>
        <c:minorTickMark val="none"/>
        <c:tickLblPos val="nextTo"/>
        <c:crossAx val="1085996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Analysis!$O$20</c:f>
              <c:strCache>
                <c:ptCount val="1"/>
                <c:pt idx="0">
                  <c:v>Total Revenew</c:v>
                </c:pt>
              </c:strCache>
            </c:strRef>
          </c:tx>
          <c:spPr>
            <a:solidFill>
              <a:srgbClr val="F2D06B"/>
            </a:solidFill>
            <a:ln>
              <a:noFill/>
            </a:ln>
            <a:effectLst/>
          </c:spPr>
          <c:invertIfNegative val="0"/>
          <c:dLbls>
            <c:dLbl>
              <c:idx val="0"/>
              <c:tx>
                <c:rich>
                  <a:bodyPr/>
                  <a:lstStyle/>
                  <a:p>
                    <a:fld id="{E2B06A64-BF06-401E-AE24-3D688D67210A}" type="CELLRANGE">
                      <a:rPr lang="en-US"/>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783-48DF-A307-8A12BCDA38D7}"/>
                </c:ext>
              </c:extLst>
            </c:dLbl>
            <c:dLbl>
              <c:idx val="1"/>
              <c:tx>
                <c:rich>
                  <a:bodyPr/>
                  <a:lstStyle/>
                  <a:p>
                    <a:fld id="{74EF62D9-E92D-4049-B9B1-0EB92C77F0E8}" type="CELLRANGE">
                      <a:rPr lang="en-US"/>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783-48DF-A307-8A12BCDA38D7}"/>
                </c:ext>
              </c:extLst>
            </c:dLbl>
            <c:dLbl>
              <c:idx val="2"/>
              <c:tx>
                <c:rich>
                  <a:bodyPr/>
                  <a:lstStyle/>
                  <a:p>
                    <a:fld id="{0B3F8131-2B85-4DB1-8C29-D92E7A26A160}" type="CELLRANGE">
                      <a:rPr lang="en-US"/>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783-48DF-A307-8A12BCDA38D7}"/>
                </c:ext>
              </c:extLst>
            </c:dLbl>
            <c:dLbl>
              <c:idx val="3"/>
              <c:tx>
                <c:rich>
                  <a:bodyPr/>
                  <a:lstStyle/>
                  <a:p>
                    <a:fld id="{1CFAB888-436B-4618-AC44-BF0A622901B6}" type="CELLRANGE">
                      <a:rPr lang="en-US"/>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A783-48DF-A307-8A12BCDA38D7}"/>
                </c:ext>
              </c:extLst>
            </c:dLbl>
            <c:dLbl>
              <c:idx val="4"/>
              <c:tx>
                <c:rich>
                  <a:bodyPr/>
                  <a:lstStyle/>
                  <a:p>
                    <a:fld id="{894AAB30-1823-4FC8-A1D9-35BD3CD554CA}" type="CELLRANGE">
                      <a:rPr lang="en-US"/>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A783-48DF-A307-8A12BCDA38D7}"/>
                </c:ext>
              </c:extLst>
            </c:dLbl>
            <c:dLbl>
              <c:idx val="5"/>
              <c:tx>
                <c:rich>
                  <a:bodyPr/>
                  <a:lstStyle/>
                  <a:p>
                    <a:fld id="{5FA215D7-E574-4808-A93D-C296D7828168}" type="CELLRANGE">
                      <a:rPr lang="en-US"/>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A783-48DF-A307-8A12BCDA38D7}"/>
                </c:ext>
              </c:extLst>
            </c:dLbl>
            <c:dLbl>
              <c:idx val="6"/>
              <c:tx>
                <c:rich>
                  <a:bodyPr/>
                  <a:lstStyle/>
                  <a:p>
                    <a:fld id="{E441895E-2D10-4D15-8964-C0E4AF80F00B}" type="CELLRANGE">
                      <a:rPr lang="en-US"/>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A783-48DF-A307-8A12BCDA38D7}"/>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Analysis!$N$21:$N$27</c:f>
              <c:strCache>
                <c:ptCount val="7"/>
                <c:pt idx="0">
                  <c:v>&lt; 20</c:v>
                </c:pt>
                <c:pt idx="1">
                  <c:v>21-30</c:v>
                </c:pt>
                <c:pt idx="2">
                  <c:v>31-40</c:v>
                </c:pt>
                <c:pt idx="3">
                  <c:v>41-50</c:v>
                </c:pt>
                <c:pt idx="4">
                  <c:v>51-60</c:v>
                </c:pt>
                <c:pt idx="5">
                  <c:v>61-70</c:v>
                </c:pt>
                <c:pt idx="6">
                  <c:v>71-80</c:v>
                </c:pt>
              </c:strCache>
            </c:strRef>
          </c:cat>
          <c:val>
            <c:numRef>
              <c:f>Analysis!$O$21:$O$27</c:f>
              <c:numCache>
                <c:formatCode>General</c:formatCode>
                <c:ptCount val="7"/>
                <c:pt idx="0">
                  <c:v>9665350</c:v>
                </c:pt>
                <c:pt idx="1">
                  <c:v>33050900</c:v>
                </c:pt>
                <c:pt idx="2">
                  <c:v>41338650</c:v>
                </c:pt>
                <c:pt idx="3">
                  <c:v>31771550</c:v>
                </c:pt>
                <c:pt idx="4">
                  <c:v>32612750</c:v>
                </c:pt>
                <c:pt idx="5">
                  <c:v>29840200</c:v>
                </c:pt>
                <c:pt idx="6">
                  <c:v>21068800</c:v>
                </c:pt>
              </c:numCache>
            </c:numRef>
          </c:val>
          <c:extLst>
            <c:ext xmlns:c15="http://schemas.microsoft.com/office/drawing/2012/chart" uri="{02D57815-91ED-43cb-92C2-25804820EDAC}">
              <c15:datalabelsRange>
                <c15:f>Analysis!$P$11:$P$17</c15:f>
                <c15:dlblRangeCache>
                  <c:ptCount val="7"/>
                  <c:pt idx="0">
                    <c:v>$10M</c:v>
                  </c:pt>
                  <c:pt idx="1">
                    <c:v>$33M</c:v>
                  </c:pt>
                  <c:pt idx="2">
                    <c:v>$41M</c:v>
                  </c:pt>
                  <c:pt idx="3">
                    <c:v>$32M</c:v>
                  </c:pt>
                  <c:pt idx="4">
                    <c:v>$33M</c:v>
                  </c:pt>
                  <c:pt idx="5">
                    <c:v>$30M</c:v>
                  </c:pt>
                  <c:pt idx="6">
                    <c:v>$21M</c:v>
                  </c:pt>
                </c15:dlblRangeCache>
              </c15:datalabelsRange>
            </c:ext>
            <c:ext xmlns:c16="http://schemas.microsoft.com/office/drawing/2014/chart" uri="{C3380CC4-5D6E-409C-BE32-E72D297353CC}">
              <c16:uniqueId val="{00000000-A783-48DF-A307-8A12BCDA38D7}"/>
            </c:ext>
          </c:extLst>
        </c:ser>
        <c:ser>
          <c:idx val="1"/>
          <c:order val="1"/>
          <c:tx>
            <c:strRef>
              <c:f>Analysis!$P$20</c:f>
              <c:strCache>
                <c:ptCount val="1"/>
                <c:pt idx="0">
                  <c:v>Max</c:v>
                </c:pt>
              </c:strCache>
            </c:strRef>
          </c:tx>
          <c:spPr>
            <a:solidFill>
              <a:srgbClr val="FDF703"/>
            </a:solidFill>
            <a:ln>
              <a:noFill/>
            </a:ln>
            <a:effectLst/>
          </c:spPr>
          <c:invertIfNegative val="0"/>
          <c:dLbls>
            <c:delete val="1"/>
          </c:dLbls>
          <c:val>
            <c:numRef>
              <c:f>Analysis!$P$21:$P$27</c:f>
              <c:numCache>
                <c:formatCode>General</c:formatCode>
                <c:ptCount val="7"/>
                <c:pt idx="0">
                  <c:v>0</c:v>
                </c:pt>
                <c:pt idx="1">
                  <c:v>0</c:v>
                </c:pt>
                <c:pt idx="2">
                  <c:v>41338650</c:v>
                </c:pt>
                <c:pt idx="3">
                  <c:v>0</c:v>
                </c:pt>
                <c:pt idx="4">
                  <c:v>0</c:v>
                </c:pt>
                <c:pt idx="5">
                  <c:v>0</c:v>
                </c:pt>
                <c:pt idx="6">
                  <c:v>0</c:v>
                </c:pt>
              </c:numCache>
            </c:numRef>
          </c:val>
          <c:extLst>
            <c:ext xmlns:c16="http://schemas.microsoft.com/office/drawing/2014/chart" uri="{C3380CC4-5D6E-409C-BE32-E72D297353CC}">
              <c16:uniqueId val="{00000001-A783-48DF-A307-8A12BCDA38D7}"/>
            </c:ext>
          </c:extLst>
        </c:ser>
        <c:ser>
          <c:idx val="2"/>
          <c:order val="2"/>
          <c:tx>
            <c:strRef>
              <c:f>Analysis!$Q$20</c:f>
              <c:strCache>
                <c:ptCount val="1"/>
                <c:pt idx="0">
                  <c:v>Min</c:v>
                </c:pt>
              </c:strCache>
            </c:strRef>
          </c:tx>
          <c:spPr>
            <a:solidFill>
              <a:srgbClr val="FF0000"/>
            </a:solidFill>
            <a:ln>
              <a:noFill/>
            </a:ln>
            <a:effectLst/>
          </c:spPr>
          <c:invertIfNegative val="0"/>
          <c:dLbls>
            <c:delete val="1"/>
          </c:dLbls>
          <c:val>
            <c:numRef>
              <c:f>Analysis!$Q$21:$Q$27</c:f>
              <c:numCache>
                <c:formatCode>General</c:formatCode>
                <c:ptCount val="7"/>
                <c:pt idx="0">
                  <c:v>9665350</c:v>
                </c:pt>
                <c:pt idx="1">
                  <c:v>0</c:v>
                </c:pt>
                <c:pt idx="2">
                  <c:v>0</c:v>
                </c:pt>
                <c:pt idx="3">
                  <c:v>0</c:v>
                </c:pt>
                <c:pt idx="4">
                  <c:v>0</c:v>
                </c:pt>
                <c:pt idx="5">
                  <c:v>0</c:v>
                </c:pt>
                <c:pt idx="6">
                  <c:v>0</c:v>
                </c:pt>
              </c:numCache>
            </c:numRef>
          </c:val>
          <c:extLst>
            <c:ext xmlns:c16="http://schemas.microsoft.com/office/drawing/2014/chart" uri="{C3380CC4-5D6E-409C-BE32-E72D297353CC}">
              <c16:uniqueId val="{00000002-A783-48DF-A307-8A12BCDA38D7}"/>
            </c:ext>
          </c:extLst>
        </c:ser>
        <c:dLbls>
          <c:dLblPos val="outEnd"/>
          <c:showLegendKey val="0"/>
          <c:showVal val="1"/>
          <c:showCatName val="0"/>
          <c:showSerName val="0"/>
          <c:showPercent val="0"/>
          <c:showBubbleSize val="0"/>
        </c:dLbls>
        <c:gapWidth val="219"/>
        <c:overlap val="100"/>
        <c:axId val="1201625424"/>
        <c:axId val="1201636464"/>
      </c:barChart>
      <c:catAx>
        <c:axId val="120162542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chemeClr val="tx1"/>
                </a:solidFill>
                <a:latin typeface="Garamond" panose="02020404030301010803" pitchFamily="18" charset="0"/>
                <a:ea typeface="+mn-ea"/>
                <a:cs typeface="+mn-cs"/>
              </a:defRPr>
            </a:pPr>
            <a:endParaRPr lang="en-NG"/>
          </a:p>
        </c:txPr>
        <c:crossAx val="1201636464"/>
        <c:crosses val="autoZero"/>
        <c:auto val="1"/>
        <c:lblAlgn val="ctr"/>
        <c:lblOffset val="100"/>
        <c:noMultiLvlLbl val="0"/>
      </c:catAx>
      <c:valAx>
        <c:axId val="1201636464"/>
        <c:scaling>
          <c:orientation val="minMax"/>
        </c:scaling>
        <c:delete val="1"/>
        <c:axPos val="l"/>
        <c:numFmt formatCode="General" sourceLinked="1"/>
        <c:majorTickMark val="none"/>
        <c:minorTickMark val="none"/>
        <c:tickLblPos val="nextTo"/>
        <c:crossAx val="120162542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[MTN.xlsx]Analysis!State</c:name>
    <c:fmtId val="12"/>
  </c:pivotSource>
  <c:chart>
    <c:autoTitleDeleted val="1"/>
    <c:pivotFmts>
      <c:pivotFmt>
        <c:idx val="0"/>
        <c:spPr>
          <a:solidFill>
            <a:srgbClr val="F2D0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rgbClr val="F2D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9E487F4-7283-4330-8BE3-1A698B48BD1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N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spPr>
          <a:solidFill>
            <a:srgbClr val="F2D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DA5348C-E9C5-44BB-A3A8-620AE537D46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N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rgbClr val="F2D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3815F0E-C994-41E2-817A-EA96AE8EF2E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N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rgbClr val="F2D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64D5F7E-06CC-4FCD-9AB7-F8B5CF118A4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N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rgbClr val="F2D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7E21EA6-7445-4456-A1B6-3133E977D6A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N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rgbClr val="F2D0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7"/>
        <c:spPr>
          <a:solidFill>
            <a:srgbClr val="F2D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9E487F4-7283-4330-8BE3-1A698B48BD1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N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8"/>
        <c:spPr>
          <a:solidFill>
            <a:srgbClr val="F2D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DA5348C-E9C5-44BB-A3A8-620AE537D46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N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9"/>
        <c:spPr>
          <a:solidFill>
            <a:srgbClr val="F2D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3815F0E-C994-41E2-817A-EA96AE8EF2E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N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
        <c:spPr>
          <a:solidFill>
            <a:srgbClr val="F2D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64D5F7E-06CC-4FCD-9AB7-F8B5CF118A4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N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1"/>
        <c:spPr>
          <a:solidFill>
            <a:srgbClr val="F2D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7E21EA6-7445-4456-A1B6-3133E977D6A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N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2"/>
        <c:spPr>
          <a:solidFill>
            <a:srgbClr val="F2D0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3"/>
        <c:spPr>
          <a:solidFill>
            <a:srgbClr val="F2D06B"/>
          </a:solidFill>
          <a:ln>
            <a:no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fld id="{33BA54EA-6456-454B-A93C-EFDC7D97176D}" type="CELLRANGE">
                  <a:rPr lang="en-US">
                    <a:latin typeface="Garamond" panose="02020404030301010803" pitchFamily="18" charset="0"/>
                  </a:rPr>
                  <a:pPr>
                    <a:defRPr sz="1050" b="1">
                      <a:solidFill>
                        <a:schemeClr val="tx1"/>
                      </a:solidFill>
                      <a:latin typeface="Garamond" panose="02020404030301010803" pitchFamily="18" charset="0"/>
                    </a:defRPr>
                  </a:pPr>
                  <a:t>[CELLRANGE]</a:t>
                </a:fld>
                <a:endParaRPr lang="en-NG"/>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4"/>
        <c:spPr>
          <a:solidFill>
            <a:srgbClr val="F2D06B"/>
          </a:solidFill>
          <a:ln>
            <a:no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fld id="{B5E7FFFE-7148-461E-88F7-9C14CA3C1C75}" type="CELLRANGE">
                  <a:rPr lang="en-NG"/>
                  <a:pPr>
                    <a:defRPr sz="1050" b="1">
                      <a:solidFill>
                        <a:schemeClr val="tx1"/>
                      </a:solidFill>
                      <a:latin typeface="Garamond" panose="02020404030301010803" pitchFamily="18" charset="0"/>
                    </a:defRPr>
                  </a:pPr>
                  <a:t>[CELLRANGE]</a:t>
                </a:fld>
                <a:endParaRPr lang="en-NG"/>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solidFill>
            <a:srgbClr val="F2D06B"/>
          </a:solidFill>
          <a:ln>
            <a:no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fld id="{9FE0CE46-C1C2-40F6-B8FB-0B1A6607DD01}" type="CELLRANGE">
                  <a:rPr lang="en-NG"/>
                  <a:pPr>
                    <a:defRPr sz="1050" b="1">
                      <a:solidFill>
                        <a:schemeClr val="tx1"/>
                      </a:solidFill>
                      <a:latin typeface="Garamond" panose="02020404030301010803" pitchFamily="18" charset="0"/>
                    </a:defRPr>
                  </a:pPr>
                  <a:t>[CELLRANGE]</a:t>
                </a:fld>
                <a:endParaRPr lang="en-NG"/>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solidFill>
            <a:srgbClr val="F2D06B"/>
          </a:solidFill>
          <a:ln>
            <a:no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fld id="{6D17383D-5218-4C9C-9EAB-38094D4C6458}" type="CELLRANGE">
                  <a:rPr lang="en-NG"/>
                  <a:pPr>
                    <a:defRPr sz="1050" b="1">
                      <a:solidFill>
                        <a:schemeClr val="tx1"/>
                      </a:solidFill>
                      <a:latin typeface="Garamond" panose="02020404030301010803" pitchFamily="18" charset="0"/>
                    </a:defRPr>
                  </a:pPr>
                  <a:t>[CELLRANGE]</a:t>
                </a:fld>
                <a:endParaRPr lang="en-NG"/>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spPr>
          <a:solidFill>
            <a:srgbClr val="F2D06B"/>
          </a:solidFill>
          <a:ln>
            <a:no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fld id="{0F7E6410-780A-488F-B285-647BB782BEA7}" type="CELLRANGE">
                  <a:rPr lang="en-NG"/>
                  <a:pPr>
                    <a:defRPr sz="1050" b="1">
                      <a:solidFill>
                        <a:schemeClr val="tx1"/>
                      </a:solidFill>
                      <a:latin typeface="Garamond" panose="02020404030301010803" pitchFamily="18" charset="0"/>
                    </a:defRPr>
                  </a:pPr>
                  <a:t>[CELLRANGE]</a:t>
                </a:fld>
                <a:endParaRPr lang="en-NG"/>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fld id="{E4FE309F-DBC1-4CD3-B990-C591A27C45EB}" type="CELLRANGE">
                  <a:rPr lang="en-US"/>
                  <a:pPr>
                    <a:defRPr sz="1050" b="1">
                      <a:solidFill>
                        <a:schemeClr val="tx1"/>
                      </a:solidFill>
                      <a:latin typeface="Garamond" panose="02020404030301010803" pitchFamily="18" charset="0"/>
                    </a:defRPr>
                  </a:pPr>
                  <a:t>[CELLRANGE]</a:t>
                </a:fld>
                <a:endParaRPr lang="en-NG"/>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fld id="{FE7B571B-7389-48C9-B311-B63A83CAB17B}" type="CELLRANGE">
                  <a:rPr lang="en-US"/>
                  <a:pPr>
                    <a:defRPr sz="1050" b="1">
                      <a:solidFill>
                        <a:schemeClr val="tx1"/>
                      </a:solidFill>
                      <a:latin typeface="Garamond" panose="02020404030301010803" pitchFamily="18" charset="0"/>
                    </a:defRPr>
                  </a:pPr>
                  <a:t>[CELLRANGE]</a:t>
                </a:fld>
                <a:endParaRPr lang="en-NG"/>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fld id="{A28DDFBA-883C-44C5-80FA-081A88015D9E}" type="CELLRANGE">
                  <a:rPr lang="en-US"/>
                  <a:pPr>
                    <a:defRPr sz="1050" b="1">
                      <a:solidFill>
                        <a:schemeClr val="tx1"/>
                      </a:solidFill>
                      <a:latin typeface="Garamond" panose="02020404030301010803" pitchFamily="18" charset="0"/>
                    </a:defRPr>
                  </a:pPr>
                  <a:t>[CELLRANGE]</a:t>
                </a:fld>
                <a:endParaRPr lang="en-NG"/>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col"/>
        <c:grouping val="clustered"/>
        <c:varyColors val="0"/>
        <c:ser>
          <c:idx val="0"/>
          <c:order val="0"/>
          <c:tx>
            <c:strRef>
              <c:f>Analysis!$U$5:$U$9</c:f>
              <c:strCache>
                <c:ptCount val="1"/>
                <c:pt idx="0">
                  <c:v>Total</c:v>
                </c:pt>
              </c:strCache>
            </c:strRef>
          </c:tx>
          <c:spPr>
            <a:solidFill>
              <a:srgbClr val="F2D06B"/>
            </a:solidFill>
            <a:ln>
              <a:noFill/>
            </a:ln>
            <a:effectLst/>
          </c:spPr>
          <c:invertIfNegative val="0"/>
          <c:dLbls>
            <c:dLbl>
              <c:idx val="0"/>
              <c:tx>
                <c:rich>
                  <a:bodyPr/>
                  <a:lstStyle/>
                  <a:p>
                    <a:fld id="{33BA54EA-6456-454B-A93C-EFDC7D97176D}" type="CELLRANGE">
                      <a:rPr lang="en-US">
                        <a:latin typeface="Garamond" panose="02020404030301010803" pitchFamily="18" charset="0"/>
                      </a:rPr>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2E-499E-AB92-60EF2D948540}"/>
                </c:ext>
              </c:extLst>
            </c:dLbl>
            <c:dLbl>
              <c:idx val="1"/>
              <c:tx>
                <c:rich>
                  <a:bodyPr/>
                  <a:lstStyle/>
                  <a:p>
                    <a:fld id="{B5E7FFFE-7148-461E-88F7-9C14CA3C1C75}" type="CELLRANGE">
                      <a:rPr lang="en-NG"/>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F22E-499E-AB92-60EF2D948540}"/>
                </c:ext>
              </c:extLst>
            </c:dLbl>
            <c:dLbl>
              <c:idx val="2"/>
              <c:tx>
                <c:rich>
                  <a:bodyPr/>
                  <a:lstStyle/>
                  <a:p>
                    <a:fld id="{9FE0CE46-C1C2-40F6-B8FB-0B1A6607DD01}" type="CELLRANGE">
                      <a:rPr lang="en-NG"/>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F22E-499E-AB92-60EF2D948540}"/>
                </c:ext>
              </c:extLst>
            </c:dLbl>
            <c:dLbl>
              <c:idx val="3"/>
              <c:tx>
                <c:rich>
                  <a:bodyPr/>
                  <a:lstStyle/>
                  <a:p>
                    <a:fld id="{6D17383D-5218-4C9C-9EAB-38094D4C6458}" type="CELLRANGE">
                      <a:rPr lang="en-NG"/>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F22E-499E-AB92-60EF2D948540}"/>
                </c:ext>
              </c:extLst>
            </c:dLbl>
            <c:dLbl>
              <c:idx val="4"/>
              <c:tx>
                <c:rich>
                  <a:bodyPr/>
                  <a:lstStyle/>
                  <a:p>
                    <a:fld id="{0F7E6410-780A-488F-B285-647BB782BEA7}" type="CELLRANGE">
                      <a:rPr lang="en-NG"/>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F22E-499E-AB92-60EF2D94854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Analysis!$U$5:$U$9</c:f>
              <c:strCache>
                <c:ptCount val="5"/>
                <c:pt idx="0">
                  <c:v>Plateau</c:v>
                </c:pt>
                <c:pt idx="1">
                  <c:v>Ekiti</c:v>
                </c:pt>
                <c:pt idx="2">
                  <c:v>Yobe</c:v>
                </c:pt>
                <c:pt idx="3">
                  <c:v>Oyo</c:v>
                </c:pt>
                <c:pt idx="4">
                  <c:v>Edo</c:v>
                </c:pt>
              </c:strCache>
            </c:strRef>
          </c:cat>
          <c:val>
            <c:numRef>
              <c:f>Analysis!$U$5:$U$9</c:f>
              <c:numCache>
                <c:formatCode>[$$-409]#,##0</c:formatCode>
                <c:ptCount val="5"/>
                <c:pt idx="0">
                  <c:v>9463600</c:v>
                </c:pt>
                <c:pt idx="1">
                  <c:v>9240250</c:v>
                </c:pt>
                <c:pt idx="2">
                  <c:v>8881700</c:v>
                </c:pt>
                <c:pt idx="3">
                  <c:v>8600350</c:v>
                </c:pt>
                <c:pt idx="4">
                  <c:v>7937650</c:v>
                </c:pt>
              </c:numCache>
            </c:numRef>
          </c:val>
          <c:extLst>
            <c:ext xmlns:c15="http://schemas.microsoft.com/office/drawing/2012/chart" uri="{02D57815-91ED-43cb-92C2-25804820EDAC}">
              <c15:datalabelsRange>
                <c15:f>Analysis!$U$5:$U$9</c15:f>
                <c15:dlblRangeCache>
                  <c:ptCount val="5"/>
                  <c:pt idx="0">
                    <c:v>$9M</c:v>
                  </c:pt>
                  <c:pt idx="1">
                    <c:v>$9M</c:v>
                  </c:pt>
                  <c:pt idx="2">
                    <c:v>$9M</c:v>
                  </c:pt>
                  <c:pt idx="3">
                    <c:v>$9M</c:v>
                  </c:pt>
                  <c:pt idx="4">
                    <c:v>$8M</c:v>
                  </c:pt>
                </c15:dlblRangeCache>
              </c15:datalabelsRange>
            </c:ext>
            <c:ext xmlns:c16="http://schemas.microsoft.com/office/drawing/2014/chart" uri="{C3380CC4-5D6E-409C-BE32-E72D297353CC}">
              <c16:uniqueId val="{00000005-F22E-499E-AB92-60EF2D948540}"/>
            </c:ext>
          </c:extLst>
        </c:ser>
        <c:dLbls>
          <c:dLblPos val="outEnd"/>
          <c:showLegendKey val="0"/>
          <c:showVal val="1"/>
          <c:showCatName val="0"/>
          <c:showSerName val="0"/>
          <c:showPercent val="0"/>
          <c:showBubbleSize val="0"/>
        </c:dLbls>
        <c:gapWidth val="219"/>
        <c:overlap val="-27"/>
        <c:axId val="1086008016"/>
        <c:axId val="1085997456"/>
      </c:barChart>
      <c:catAx>
        <c:axId val="108600801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chemeClr val="tx1"/>
                </a:solidFill>
                <a:latin typeface="Garamond" panose="02020404030301010803" pitchFamily="18" charset="0"/>
                <a:ea typeface="+mn-ea"/>
                <a:cs typeface="+mn-cs"/>
              </a:defRPr>
            </a:pPr>
            <a:endParaRPr lang="en-NG"/>
          </a:p>
        </c:txPr>
        <c:crossAx val="1085997456"/>
        <c:crosses val="autoZero"/>
        <c:auto val="1"/>
        <c:lblAlgn val="ctr"/>
        <c:lblOffset val="100"/>
        <c:noMultiLvlLbl val="0"/>
      </c:catAx>
      <c:valAx>
        <c:axId val="1085997456"/>
        <c:scaling>
          <c:orientation val="minMax"/>
        </c:scaling>
        <c:delete val="1"/>
        <c:axPos val="l"/>
        <c:numFmt formatCode="[$$-409]#,##0" sourceLinked="1"/>
        <c:majorTickMark val="none"/>
        <c:minorTickMark val="none"/>
        <c:tickLblPos val="nextTo"/>
        <c:crossAx val="108600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[MTN.xlsx]Analysis!full name</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2D0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rgbClr val="F2D06B"/>
          </a:solidFill>
          <a:ln>
            <a:no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fld id="{E70CE94A-A62A-4EF6-B371-4E053156FF3B}" type="CELLRANGE">
                  <a:rPr lang="en-US"/>
                  <a:pPr>
                    <a:defRPr sz="1050" b="1">
                      <a:solidFill>
                        <a:schemeClr val="tx1"/>
                      </a:solidFill>
                      <a:latin typeface="Garamond" panose="02020404030301010803" pitchFamily="18" charset="0"/>
                    </a:defRPr>
                  </a:pPr>
                  <a:t>[CELLRANGE]</a:t>
                </a:fld>
                <a:endParaRPr lang="en-NG"/>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rgbClr val="F2D06B"/>
          </a:solidFill>
          <a:ln>
            <a:no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fld id="{CC18E44F-084F-49C9-AD96-055A55D946C6}" type="CELLRANGE">
                  <a:rPr lang="en-US"/>
                  <a:pPr>
                    <a:defRPr sz="1050" b="1">
                      <a:solidFill>
                        <a:schemeClr val="tx1"/>
                      </a:solidFill>
                      <a:latin typeface="Garamond" panose="02020404030301010803" pitchFamily="18" charset="0"/>
                    </a:defRPr>
                  </a:pPr>
                  <a:t>[CELLRANGE]</a:t>
                </a:fld>
                <a:endParaRPr lang="en-NG"/>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rgbClr val="F2D06B"/>
          </a:solidFill>
          <a:ln>
            <a:no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fld id="{D32B6341-7B2A-42EC-82DA-6A90D5089C20}" type="CELLRANGE">
                  <a:rPr lang="en-US"/>
                  <a:pPr>
                    <a:defRPr sz="1050" b="1">
                      <a:solidFill>
                        <a:schemeClr val="tx1"/>
                      </a:solidFill>
                      <a:latin typeface="Garamond" panose="02020404030301010803" pitchFamily="18" charset="0"/>
                    </a:defRPr>
                  </a:pPr>
                  <a:t>[CELLRANGE]</a:t>
                </a:fld>
                <a:endParaRPr lang="en-NG"/>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rgbClr val="F2D06B"/>
          </a:solidFill>
          <a:ln>
            <a:no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fld id="{495AC955-03A9-402A-A44F-4D14D7895074}" type="CELLRANGE">
                  <a:rPr lang="en-US"/>
                  <a:pPr>
                    <a:defRPr sz="1050" b="1">
                      <a:solidFill>
                        <a:schemeClr val="tx1"/>
                      </a:solidFill>
                      <a:latin typeface="Garamond" panose="02020404030301010803" pitchFamily="18" charset="0"/>
                    </a:defRPr>
                  </a:pPr>
                  <a:t>[CELLRANGE]</a:t>
                </a:fld>
                <a:endParaRPr lang="en-NG"/>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rgbClr val="F2D06B"/>
          </a:solidFill>
          <a:ln>
            <a:no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fld id="{3C3EC82B-6440-4DF1-AD67-60A4E9C1C14B}" type="CELLRANGE">
                  <a:rPr lang="en-US"/>
                  <a:pPr>
                    <a:defRPr sz="1050" b="1">
                      <a:solidFill>
                        <a:schemeClr val="tx1"/>
                      </a:solidFill>
                      <a:latin typeface="Garamond" panose="02020404030301010803" pitchFamily="18" charset="0"/>
                    </a:defRPr>
                  </a:pPr>
                  <a:t>[CELLRANGE]</a:t>
                </a:fld>
                <a:endParaRPr lang="en-NG"/>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fld id="{23235E5A-6937-40CE-B7AA-778044B58D25}" type="CELLRANGE">
                  <a:rPr lang="en-US"/>
                  <a:pPr>
                    <a:defRPr sz="1050" b="1">
                      <a:solidFill>
                        <a:schemeClr val="tx1"/>
                      </a:solidFill>
                      <a:latin typeface="Garamond" panose="02020404030301010803" pitchFamily="18" charset="0"/>
                    </a:defRPr>
                  </a:pPr>
                  <a:t>[CELLRANGE]</a:t>
                </a:fld>
                <a:endParaRPr lang="en-NG"/>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fld id="{783ABC4B-12B3-4DE5-A346-B1E37825A617}" type="CELLRANGE">
                  <a:rPr lang="en-US"/>
                  <a:pPr>
                    <a:defRPr sz="1050" b="1">
                      <a:solidFill>
                        <a:schemeClr val="tx1"/>
                      </a:solidFill>
                      <a:latin typeface="Garamond" panose="02020404030301010803" pitchFamily="18" charset="0"/>
                    </a:defRPr>
                  </a:pPr>
                  <a:t>[CELLRANGE]</a:t>
                </a:fld>
                <a:endParaRPr lang="en-NG"/>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fld id="{84CFF807-D30F-4F82-82FC-7CE67A700916}" type="CELLRANGE">
                  <a:rPr lang="en-US"/>
                  <a:pPr>
                    <a:defRPr sz="1050" b="1">
                      <a:solidFill>
                        <a:schemeClr val="tx1"/>
                      </a:solidFill>
                      <a:latin typeface="Garamond" panose="02020404030301010803" pitchFamily="18" charset="0"/>
                    </a:defRPr>
                  </a:pPr>
                  <a:t>[CELLRANGE]</a:t>
                </a:fld>
                <a:endParaRPr lang="en-NG"/>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fld id="{319F699D-2E5C-4752-84C2-2CAC032B0886}" type="CELLRANGE">
                  <a:rPr lang="en-US"/>
                  <a:pPr>
                    <a:defRPr sz="1050" b="1">
                      <a:solidFill>
                        <a:schemeClr val="tx1"/>
                      </a:solidFill>
                      <a:latin typeface="Garamond" panose="02020404030301010803" pitchFamily="18" charset="0"/>
                    </a:defRPr>
                  </a:pPr>
                  <a:t>[CELLRANGE]</a:t>
                </a:fld>
                <a:endParaRPr lang="en-NG"/>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fld id="{6E5B2CEE-3DC9-4FD1-BF62-17FEAD658597}" type="CELLRANGE">
                  <a:rPr lang="en-US"/>
                  <a:pPr>
                    <a:defRPr sz="1050" b="1">
                      <a:solidFill>
                        <a:schemeClr val="tx1"/>
                      </a:solidFill>
                      <a:latin typeface="Garamond" panose="02020404030301010803" pitchFamily="18" charset="0"/>
                    </a:defRPr>
                  </a:pPr>
                  <a:t>[CELLRANGE]</a:t>
                </a:fld>
                <a:endParaRPr lang="en-NG"/>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col"/>
        <c:grouping val="clustered"/>
        <c:varyColors val="0"/>
        <c:ser>
          <c:idx val="0"/>
          <c:order val="0"/>
          <c:tx>
            <c:strRef>
              <c:f>Analysis!$U$13:$U$17</c:f>
              <c:strCache>
                <c:ptCount val="1"/>
                <c:pt idx="0">
                  <c:v>Total</c:v>
                </c:pt>
              </c:strCache>
            </c:strRef>
          </c:tx>
          <c:spPr>
            <a:solidFill>
              <a:srgbClr val="F2D06B"/>
            </a:solidFill>
            <a:ln>
              <a:noFill/>
            </a:ln>
            <a:effectLst/>
          </c:spPr>
          <c:invertIfNegative val="0"/>
          <c:dLbls>
            <c:dLbl>
              <c:idx val="0"/>
              <c:tx>
                <c:rich>
                  <a:bodyPr/>
                  <a:lstStyle/>
                  <a:p>
                    <a:fld id="{E70CE94A-A62A-4EF6-B371-4E053156FF3B}" type="CELLRANGE">
                      <a:rPr lang="en-US"/>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33A-4463-AA75-43E0CC165035}"/>
                </c:ext>
              </c:extLst>
            </c:dLbl>
            <c:dLbl>
              <c:idx val="1"/>
              <c:tx>
                <c:rich>
                  <a:bodyPr/>
                  <a:lstStyle/>
                  <a:p>
                    <a:fld id="{CC18E44F-084F-49C9-AD96-055A55D946C6}" type="CELLRANGE">
                      <a:rPr lang="en-US"/>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33A-4463-AA75-43E0CC165035}"/>
                </c:ext>
              </c:extLst>
            </c:dLbl>
            <c:dLbl>
              <c:idx val="2"/>
              <c:tx>
                <c:rich>
                  <a:bodyPr/>
                  <a:lstStyle/>
                  <a:p>
                    <a:fld id="{D32B6341-7B2A-42EC-82DA-6A90D5089C20}" type="CELLRANGE">
                      <a:rPr lang="en-US"/>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33A-4463-AA75-43E0CC165035}"/>
                </c:ext>
              </c:extLst>
            </c:dLbl>
            <c:dLbl>
              <c:idx val="3"/>
              <c:tx>
                <c:rich>
                  <a:bodyPr/>
                  <a:lstStyle/>
                  <a:p>
                    <a:fld id="{495AC955-03A9-402A-A44F-4D14D7895074}" type="CELLRANGE">
                      <a:rPr lang="en-US"/>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33A-4463-AA75-43E0CC165035}"/>
                </c:ext>
              </c:extLst>
            </c:dLbl>
            <c:dLbl>
              <c:idx val="4"/>
              <c:tx>
                <c:rich>
                  <a:bodyPr/>
                  <a:lstStyle/>
                  <a:p>
                    <a:fld id="{3C3EC82B-6440-4DF1-AD67-60A4E9C1C14B}" type="CELLRANGE">
                      <a:rPr lang="en-US"/>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33A-4463-AA75-43E0CC16503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Analysis!$U$13:$U$17</c:f>
              <c:strCache>
                <c:ptCount val="5"/>
                <c:pt idx="0">
                  <c:v>Chinedu Brown</c:v>
                </c:pt>
                <c:pt idx="1">
                  <c:v>Alabo Turner</c:v>
                </c:pt>
                <c:pt idx="2">
                  <c:v>Halima Martin</c:v>
                </c:pt>
                <c:pt idx="3">
                  <c:v>Kunle Myers</c:v>
                </c:pt>
                <c:pt idx="4">
                  <c:v>Amina Johns</c:v>
                </c:pt>
              </c:strCache>
            </c:strRef>
          </c:cat>
          <c:val>
            <c:numRef>
              <c:f>Analysis!$U$13:$U$17</c:f>
              <c:numCache>
                <c:formatCode>[$$-409]#,##0</c:formatCode>
                <c:ptCount val="5"/>
                <c:pt idx="0">
                  <c:v>3640000</c:v>
                </c:pt>
                <c:pt idx="1">
                  <c:v>3300000</c:v>
                </c:pt>
                <c:pt idx="2">
                  <c:v>3105000</c:v>
                </c:pt>
                <c:pt idx="3">
                  <c:v>2870000</c:v>
                </c:pt>
                <c:pt idx="4">
                  <c:v>2606500</c:v>
                </c:pt>
              </c:numCache>
            </c:numRef>
          </c:val>
          <c:extLst>
            <c:ext xmlns:c15="http://schemas.microsoft.com/office/drawing/2012/chart" uri="{02D57815-91ED-43cb-92C2-25804820EDAC}">
              <c15:datalabelsRange>
                <c15:f>Analysis!$U$13:$U$17</c15:f>
                <c15:dlblRangeCache>
                  <c:ptCount val="5"/>
                  <c:pt idx="0">
                    <c:v>$4M</c:v>
                  </c:pt>
                  <c:pt idx="1">
                    <c:v>$3M</c:v>
                  </c:pt>
                  <c:pt idx="2">
                    <c:v>$3M</c:v>
                  </c:pt>
                  <c:pt idx="3">
                    <c:v>$3M</c:v>
                  </c:pt>
                  <c:pt idx="4">
                    <c:v>$3M</c:v>
                  </c:pt>
                </c15:dlblRangeCache>
              </c15:datalabelsRange>
            </c:ext>
            <c:ext xmlns:c16="http://schemas.microsoft.com/office/drawing/2014/chart" uri="{C3380CC4-5D6E-409C-BE32-E72D297353CC}">
              <c16:uniqueId val="{00000000-B33A-4463-AA75-43E0CC165035}"/>
            </c:ext>
          </c:extLst>
        </c:ser>
        <c:dLbls>
          <c:dLblPos val="outEnd"/>
          <c:showLegendKey val="0"/>
          <c:showVal val="1"/>
          <c:showCatName val="0"/>
          <c:showSerName val="0"/>
          <c:showPercent val="0"/>
          <c:showBubbleSize val="0"/>
        </c:dLbls>
        <c:gapWidth val="219"/>
        <c:overlap val="-27"/>
        <c:axId val="1201639344"/>
        <c:axId val="1201648944"/>
      </c:barChart>
      <c:catAx>
        <c:axId val="120163934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chemeClr val="tx1"/>
                </a:solidFill>
                <a:latin typeface="Garamond" panose="02020404030301010803" pitchFamily="18" charset="0"/>
                <a:ea typeface="+mn-ea"/>
                <a:cs typeface="+mn-cs"/>
              </a:defRPr>
            </a:pPr>
            <a:endParaRPr lang="en-NG"/>
          </a:p>
        </c:txPr>
        <c:crossAx val="1201648944"/>
        <c:crosses val="autoZero"/>
        <c:auto val="1"/>
        <c:lblAlgn val="ctr"/>
        <c:lblOffset val="100"/>
        <c:noMultiLvlLbl val="0"/>
      </c:catAx>
      <c:valAx>
        <c:axId val="1201648944"/>
        <c:scaling>
          <c:orientation val="minMax"/>
        </c:scaling>
        <c:delete val="1"/>
        <c:axPos val="l"/>
        <c:numFmt formatCode="[$$-409]#,##0" sourceLinked="1"/>
        <c:majorTickMark val="none"/>
        <c:minorTickMark val="none"/>
        <c:tickLblPos val="nextTo"/>
        <c:crossAx val="1201639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554414086768977"/>
          <c:y val="0.32588744369734352"/>
          <c:w val="0.33758438580477806"/>
          <c:h val="0.563964876944408"/>
        </c:manualLayout>
      </c:layout>
      <c:doughnutChart>
        <c:varyColors val="1"/>
        <c:ser>
          <c:idx val="0"/>
          <c:order val="0"/>
          <c:tx>
            <c:strRef>
              <c:f>Analysis!$S$25</c:f>
              <c:strCache>
                <c:ptCount val="1"/>
                <c:pt idx="0">
                  <c:v>Female</c:v>
                </c:pt>
              </c:strCache>
            </c:strRef>
          </c:tx>
          <c:spPr>
            <a:solidFill>
              <a:schemeClr val="bg1"/>
            </a:solidFill>
            <a:ln>
              <a:noFill/>
            </a:ln>
          </c:spPr>
          <c:dPt>
            <c:idx val="0"/>
            <c:bubble3D val="0"/>
            <c:explosion val="10"/>
            <c:spPr>
              <a:solidFill>
                <a:srgbClr val="FAEBC2"/>
              </a:solidFill>
              <a:ln w="19050">
                <a:noFill/>
              </a:ln>
              <a:effectLst/>
            </c:spPr>
            <c:extLst>
              <c:ext xmlns:c16="http://schemas.microsoft.com/office/drawing/2014/chart" uri="{C3380CC4-5D6E-409C-BE32-E72D297353CC}">
                <c16:uniqueId val="{00000001-086E-4789-995A-504D4D7043D8}"/>
              </c:ext>
            </c:extLst>
          </c:dPt>
          <c:dPt>
            <c:idx val="1"/>
            <c:bubble3D val="0"/>
            <c:spPr>
              <a:solidFill>
                <a:schemeClr val="bg1"/>
              </a:solidFill>
              <a:ln w="19050">
                <a:noFill/>
              </a:ln>
              <a:effectLst/>
            </c:spPr>
            <c:extLst>
              <c:ext xmlns:c16="http://schemas.microsoft.com/office/drawing/2014/chart" uri="{C3380CC4-5D6E-409C-BE32-E72D297353CC}">
                <c16:uniqueId val="{00000003-086E-4789-995A-504D4D7043D8}"/>
              </c:ext>
            </c:extLst>
          </c:dPt>
          <c:cat>
            <c:strRef>
              <c:f>Analysis!$T$24:$U$24</c:f>
              <c:strCache>
                <c:ptCount val="2"/>
                <c:pt idx="0">
                  <c:v>pct</c:v>
                </c:pt>
                <c:pt idx="1">
                  <c:v>r</c:v>
                </c:pt>
              </c:strCache>
            </c:strRef>
          </c:cat>
          <c:val>
            <c:numRef>
              <c:f>Analysis!$T$25:$U$25</c:f>
              <c:numCache>
                <c:formatCode>0%</c:formatCode>
                <c:ptCount val="2"/>
                <c:pt idx="0">
                  <c:v>0.52378526618248877</c:v>
                </c:pt>
                <c:pt idx="1">
                  <c:v>0.47621473381751123</c:v>
                </c:pt>
              </c:numCache>
            </c:numRef>
          </c:val>
          <c:extLst>
            <c:ext xmlns:c16="http://schemas.microsoft.com/office/drawing/2014/chart" uri="{C3380CC4-5D6E-409C-BE32-E72D297353CC}">
              <c16:uniqueId val="{00000004-086E-4789-995A-504D4D7043D8}"/>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171435331720916"/>
          <c:y val="0"/>
          <c:w val="0.38209492863702815"/>
          <c:h val="0.56190476190476191"/>
        </c:manualLayout>
      </c:layout>
      <c:doughnutChart>
        <c:varyColors val="1"/>
        <c:ser>
          <c:idx val="0"/>
          <c:order val="0"/>
          <c:tx>
            <c:strRef>
              <c:f>Analysis!$S$26</c:f>
              <c:strCache>
                <c:ptCount val="1"/>
                <c:pt idx="0">
                  <c:v>Male</c:v>
                </c:pt>
              </c:strCache>
            </c:strRef>
          </c:tx>
          <c:spPr>
            <a:ln>
              <a:noFill/>
            </a:ln>
          </c:spPr>
          <c:dPt>
            <c:idx val="0"/>
            <c:bubble3D val="0"/>
            <c:spPr>
              <a:solidFill>
                <a:srgbClr val="F2D06B"/>
              </a:solidFill>
              <a:ln w="19050">
                <a:noFill/>
              </a:ln>
              <a:effectLst/>
            </c:spPr>
            <c:extLst>
              <c:ext xmlns:c16="http://schemas.microsoft.com/office/drawing/2014/chart" uri="{C3380CC4-5D6E-409C-BE32-E72D297353CC}">
                <c16:uniqueId val="{00000001-7A81-4F06-85DF-7668B6F88CCD}"/>
              </c:ext>
            </c:extLst>
          </c:dPt>
          <c:dPt>
            <c:idx val="1"/>
            <c:bubble3D val="0"/>
            <c:spPr>
              <a:solidFill>
                <a:schemeClr val="bg1"/>
              </a:solidFill>
              <a:ln w="19050">
                <a:noFill/>
              </a:ln>
              <a:effectLst/>
            </c:spPr>
            <c:extLst>
              <c:ext xmlns:c16="http://schemas.microsoft.com/office/drawing/2014/chart" uri="{C3380CC4-5D6E-409C-BE32-E72D297353CC}">
                <c16:uniqueId val="{00000003-7A81-4F06-85DF-7668B6F88CCD}"/>
              </c:ext>
            </c:extLst>
          </c:dPt>
          <c:val>
            <c:numRef>
              <c:f>Analysis!$T$26:$U$26</c:f>
              <c:numCache>
                <c:formatCode>0%</c:formatCode>
                <c:ptCount val="2"/>
                <c:pt idx="0">
                  <c:v>0.47621473381751128</c:v>
                </c:pt>
                <c:pt idx="1">
                  <c:v>0.52378526618248866</c:v>
                </c:pt>
              </c:numCache>
            </c:numRef>
          </c:val>
          <c:extLst>
            <c:ext xmlns:c16="http://schemas.microsoft.com/office/drawing/2014/chart" uri="{C3380CC4-5D6E-409C-BE32-E72D297353CC}">
              <c16:uniqueId val="{00000004-7A81-4F06-85DF-7668B6F88CCD}"/>
            </c:ext>
          </c:extLst>
        </c:ser>
        <c:dLbls>
          <c:showLegendKey val="0"/>
          <c:showVal val="0"/>
          <c:showCatName val="0"/>
          <c:showSerName val="0"/>
          <c:showPercent val="0"/>
          <c:showBubbleSize val="0"/>
          <c:showLeaderLines val="1"/>
        </c:dLbls>
        <c:firstSliceAng val="12"/>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Analysis!$M$2" lockText="1" noThreeD="1"/>
</file>

<file path=xl/ctrlProps/ctrlProp2.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9.xml"/><Relationship Id="rId18" Type="http://schemas.openxmlformats.org/officeDocument/2006/relationships/image" Target="../media/image6.svg"/><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8.xml"/><Relationship Id="rId17" Type="http://schemas.openxmlformats.org/officeDocument/2006/relationships/image" Target="../media/image5.png"/><Relationship Id="rId2" Type="http://schemas.openxmlformats.org/officeDocument/2006/relationships/image" Target="../media/image2.png"/><Relationship Id="rId16" Type="http://schemas.openxmlformats.org/officeDocument/2006/relationships/chart" Target="../charts/chart12.xml"/><Relationship Id="rId20" Type="http://schemas.openxmlformats.org/officeDocument/2006/relationships/image" Target="../media/image8.sv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7.xml"/><Relationship Id="rId5" Type="http://schemas.openxmlformats.org/officeDocument/2006/relationships/chart" Target="../charts/chart1.xml"/><Relationship Id="rId15" Type="http://schemas.openxmlformats.org/officeDocument/2006/relationships/chart" Target="../charts/chart11.xml"/><Relationship Id="rId10" Type="http://schemas.openxmlformats.org/officeDocument/2006/relationships/chart" Target="../charts/chart6.xml"/><Relationship Id="rId19" Type="http://schemas.openxmlformats.org/officeDocument/2006/relationships/image" Target="../media/image7.png"/><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30</xdr:col>
      <xdr:colOff>267891</xdr:colOff>
      <xdr:row>0</xdr:row>
      <xdr:rowOff>0</xdr:rowOff>
    </xdr:from>
    <xdr:to>
      <xdr:col>36</xdr:col>
      <xdr:colOff>205576</xdr:colOff>
      <xdr:row>53</xdr:row>
      <xdr:rowOff>178592</xdr:rowOff>
    </xdr:to>
    <xdr:sp macro="" textlink="">
      <xdr:nvSpPr>
        <xdr:cNvPr id="9" name="Moon 8">
          <a:extLst>
            <a:ext uri="{FF2B5EF4-FFF2-40B4-BE49-F238E27FC236}">
              <a16:creationId xmlns:a16="http://schemas.microsoft.com/office/drawing/2014/main" id="{D2792A4D-1A54-978A-D0A2-D88D68CC5166}"/>
            </a:ext>
          </a:extLst>
        </xdr:cNvPr>
        <xdr:cNvSpPr/>
      </xdr:nvSpPr>
      <xdr:spPr>
        <a:xfrm rot="10800000">
          <a:off x="17814727" y="0"/>
          <a:ext cx="3598857" cy="9956600"/>
        </a:xfrm>
        <a:prstGeom prst="moon">
          <a:avLst>
            <a:gd name="adj" fmla="val 48538"/>
          </a:avLst>
        </a:prstGeom>
        <a:solidFill>
          <a:srgbClr val="F2D06B"/>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absolute">
    <xdr:from>
      <xdr:col>30</xdr:col>
      <xdr:colOff>338629</xdr:colOff>
      <xdr:row>0</xdr:row>
      <xdr:rowOff>0</xdr:rowOff>
    </xdr:from>
    <xdr:to>
      <xdr:col>37</xdr:col>
      <xdr:colOff>530720</xdr:colOff>
      <xdr:row>54</xdr:row>
      <xdr:rowOff>29767</xdr:rowOff>
    </xdr:to>
    <xdr:sp macro="" textlink="">
      <xdr:nvSpPr>
        <xdr:cNvPr id="2" name="Moon 1">
          <a:extLst>
            <a:ext uri="{FF2B5EF4-FFF2-40B4-BE49-F238E27FC236}">
              <a16:creationId xmlns:a16="http://schemas.microsoft.com/office/drawing/2014/main" id="{6815776A-0BD5-6E57-B06A-B30549B98D9C}"/>
            </a:ext>
          </a:extLst>
        </xdr:cNvPr>
        <xdr:cNvSpPr/>
      </xdr:nvSpPr>
      <xdr:spPr>
        <a:xfrm flipH="1">
          <a:off x="17752570" y="0"/>
          <a:ext cx="4427915" cy="9846120"/>
        </a:xfrm>
        <a:prstGeom prst="moon">
          <a:avLst>
            <a:gd name="adj" fmla="val 58097"/>
          </a:avLst>
        </a:prstGeom>
        <a:solidFill>
          <a:srgbClr val="FAEBC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77229</xdr:colOff>
      <xdr:row>12</xdr:row>
      <xdr:rowOff>154458</xdr:rowOff>
    </xdr:from>
    <xdr:to>
      <xdr:col>14</xdr:col>
      <xdr:colOff>357188</xdr:colOff>
      <xdr:row>49</xdr:row>
      <xdr:rowOff>119061</xdr:rowOff>
    </xdr:to>
    <xdr:sp macro="" textlink="">
      <xdr:nvSpPr>
        <xdr:cNvPr id="5" name="Rectangle: Diagonal Corners Rounded 4">
          <a:extLst>
            <a:ext uri="{FF2B5EF4-FFF2-40B4-BE49-F238E27FC236}">
              <a16:creationId xmlns:a16="http://schemas.microsoft.com/office/drawing/2014/main" id="{9A768DD8-A250-16DF-8B12-901D725FEC51}"/>
            </a:ext>
          </a:extLst>
        </xdr:cNvPr>
        <xdr:cNvSpPr/>
      </xdr:nvSpPr>
      <xdr:spPr>
        <a:xfrm>
          <a:off x="4916959" y="1995100"/>
          <a:ext cx="3909756" cy="7108353"/>
        </a:xfrm>
        <a:prstGeom prst="round2DiagRect">
          <a:avLst/>
        </a:prstGeom>
        <a:solidFill>
          <a:schemeClr val="bg1"/>
        </a:solidFill>
        <a:ln>
          <a:noFill/>
        </a:ln>
        <a:effectLst>
          <a:outerShdw blurRad="127000" dist="38100" dir="2700000" algn="tl" rotWithShape="0">
            <a:schemeClr val="bg2">
              <a:lumMod val="75000"/>
              <a:alpha val="86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31</xdr:col>
      <xdr:colOff>112058</xdr:colOff>
      <xdr:row>0</xdr:row>
      <xdr:rowOff>0</xdr:rowOff>
    </xdr:from>
    <xdr:to>
      <xdr:col>37</xdr:col>
      <xdr:colOff>312539</xdr:colOff>
      <xdr:row>4</xdr:row>
      <xdr:rowOff>123265</xdr:rowOff>
    </xdr:to>
    <xdr:sp macro="" textlink="">
      <xdr:nvSpPr>
        <xdr:cNvPr id="3" name="Rectangle 2">
          <a:extLst>
            <a:ext uri="{FF2B5EF4-FFF2-40B4-BE49-F238E27FC236}">
              <a16:creationId xmlns:a16="http://schemas.microsoft.com/office/drawing/2014/main" id="{0D0C1043-CADA-4FFB-B228-7983C686D2E1}"/>
            </a:ext>
          </a:extLst>
        </xdr:cNvPr>
        <xdr:cNvSpPr/>
      </xdr:nvSpPr>
      <xdr:spPr>
        <a:xfrm>
          <a:off x="18131117" y="0"/>
          <a:ext cx="3831187" cy="414618"/>
        </a:xfrm>
        <a:prstGeom prst="rect">
          <a:avLst/>
        </a:prstGeom>
        <a:solidFill>
          <a:srgbClr val="FAEBC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1</xdr:col>
      <xdr:colOff>50602</xdr:colOff>
      <xdr:row>5</xdr:row>
      <xdr:rowOff>14883</xdr:rowOff>
    </xdr:from>
    <xdr:to>
      <xdr:col>24</xdr:col>
      <xdr:colOff>14883</xdr:colOff>
      <xdr:row>10</xdr:row>
      <xdr:rowOff>163710</xdr:rowOff>
    </xdr:to>
    <xdr:sp macro="" textlink="">
      <xdr:nvSpPr>
        <xdr:cNvPr id="4" name="Rectangle: Rounded Corners 3">
          <a:extLst>
            <a:ext uri="{FF2B5EF4-FFF2-40B4-BE49-F238E27FC236}">
              <a16:creationId xmlns:a16="http://schemas.microsoft.com/office/drawing/2014/main" id="{95EE0FB9-103E-8EA0-F840-10671B85F762}"/>
            </a:ext>
          </a:extLst>
        </xdr:cNvPr>
        <xdr:cNvSpPr/>
      </xdr:nvSpPr>
      <xdr:spPr>
        <a:xfrm>
          <a:off x="660797" y="506016"/>
          <a:ext cx="13239750" cy="1116210"/>
        </a:xfrm>
        <a:prstGeom prst="roundRect">
          <a:avLst/>
        </a:prstGeom>
        <a:solidFill>
          <a:srgbClr val="F2D06B"/>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193476</xdr:colOff>
      <xdr:row>3</xdr:row>
      <xdr:rowOff>74414</xdr:rowOff>
    </xdr:from>
    <xdr:to>
      <xdr:col>6</xdr:col>
      <xdr:colOff>297656</xdr:colOff>
      <xdr:row>4</xdr:row>
      <xdr:rowOff>178594</xdr:rowOff>
    </xdr:to>
    <xdr:sp macro="" textlink="">
      <xdr:nvSpPr>
        <xdr:cNvPr id="23" name="TextBox 22">
          <a:extLst>
            <a:ext uri="{FF2B5EF4-FFF2-40B4-BE49-F238E27FC236}">
              <a16:creationId xmlns:a16="http://schemas.microsoft.com/office/drawing/2014/main" id="{B5ACD20C-515E-7517-2740-3E0E12866AAB}"/>
            </a:ext>
          </a:extLst>
        </xdr:cNvPr>
        <xdr:cNvSpPr txBox="1"/>
      </xdr:nvSpPr>
      <xdr:spPr>
        <a:xfrm>
          <a:off x="803671" y="74414"/>
          <a:ext cx="3155157" cy="401836"/>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4">
                  <a:lumMod val="75000"/>
                </a:schemeClr>
              </a:solidFill>
              <a:latin typeface="Arial Black" panose="020B0A04020102020204" pitchFamily="34" charset="0"/>
            </a:rPr>
            <a:t>MTN Customer Churn</a:t>
          </a:r>
          <a:endParaRPr lang="en-NG" sz="1800" b="1">
            <a:solidFill>
              <a:schemeClr val="accent4">
                <a:lumMod val="75000"/>
              </a:schemeClr>
            </a:solidFill>
            <a:latin typeface="Arial Black" panose="020B0A04020102020204" pitchFamily="34" charset="0"/>
          </a:endParaRPr>
        </a:p>
      </xdr:txBody>
    </xdr:sp>
    <xdr:clientData/>
  </xdr:twoCellAnchor>
  <xdr:twoCellAnchor>
    <xdr:from>
      <xdr:col>7</xdr:col>
      <xdr:colOff>126206</xdr:colOff>
      <xdr:row>6</xdr:row>
      <xdr:rowOff>36911</xdr:rowOff>
    </xdr:from>
    <xdr:to>
      <xdr:col>12</xdr:col>
      <xdr:colOff>230386</xdr:colOff>
      <xdr:row>8</xdr:row>
      <xdr:rowOff>51793</xdr:rowOff>
    </xdr:to>
    <xdr:sp macro="" textlink="">
      <xdr:nvSpPr>
        <xdr:cNvPr id="29" name="TextBox 28">
          <a:extLst>
            <a:ext uri="{FF2B5EF4-FFF2-40B4-BE49-F238E27FC236}">
              <a16:creationId xmlns:a16="http://schemas.microsoft.com/office/drawing/2014/main" id="{A2AB572C-F977-31A4-E925-D3D86834FB5C}"/>
            </a:ext>
          </a:extLst>
        </xdr:cNvPr>
        <xdr:cNvSpPr txBox="1"/>
      </xdr:nvSpPr>
      <xdr:spPr>
        <a:xfrm>
          <a:off x="4397573" y="721520"/>
          <a:ext cx="3155157" cy="4018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Garamond" panose="02020404030301010803" pitchFamily="18" charset="0"/>
              <a:cs typeface="Arial" panose="020B0604020202020204" pitchFamily="34" charset="0"/>
            </a:rPr>
            <a:t>Overall</a:t>
          </a:r>
          <a:r>
            <a:rPr lang="en-US" sz="1600" b="1" baseline="0">
              <a:solidFill>
                <a:schemeClr val="bg1"/>
              </a:solidFill>
              <a:latin typeface="Garamond" panose="02020404030301010803" pitchFamily="18" charset="0"/>
              <a:cs typeface="Arial" panose="020B0604020202020204" pitchFamily="34" charset="0"/>
            </a:rPr>
            <a:t> Sales Revenue</a:t>
          </a:r>
          <a:endParaRPr lang="en-NG" sz="1600" b="1">
            <a:solidFill>
              <a:schemeClr val="bg1"/>
            </a:solidFill>
            <a:latin typeface="Garamond" panose="02020404030301010803" pitchFamily="18" charset="0"/>
            <a:cs typeface="Arial" panose="020B0604020202020204" pitchFamily="34" charset="0"/>
          </a:endParaRPr>
        </a:p>
      </xdr:txBody>
    </xdr:sp>
    <xdr:clientData/>
  </xdr:twoCellAnchor>
  <xdr:twoCellAnchor>
    <xdr:from>
      <xdr:col>12</xdr:col>
      <xdr:colOff>193475</xdr:colOff>
      <xdr:row>6</xdr:row>
      <xdr:rowOff>25601</xdr:rowOff>
    </xdr:from>
    <xdr:to>
      <xdr:col>18</xdr:col>
      <xdr:colOff>461366</xdr:colOff>
      <xdr:row>8</xdr:row>
      <xdr:rowOff>14883</xdr:rowOff>
    </xdr:to>
    <xdr:sp macro="" textlink="">
      <xdr:nvSpPr>
        <xdr:cNvPr id="30" name="TextBox 29">
          <a:extLst>
            <a:ext uri="{FF2B5EF4-FFF2-40B4-BE49-F238E27FC236}">
              <a16:creationId xmlns:a16="http://schemas.microsoft.com/office/drawing/2014/main" id="{CD97F90B-6292-66E9-E274-1E07DB6E6B2D}"/>
            </a:ext>
          </a:extLst>
        </xdr:cNvPr>
        <xdr:cNvSpPr txBox="1"/>
      </xdr:nvSpPr>
      <xdr:spPr>
        <a:xfrm>
          <a:off x="7515819" y="710210"/>
          <a:ext cx="3170039" cy="376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Garamond" panose="02020404030301010803" pitchFamily="18" charset="0"/>
            </a:rPr>
            <a:t>Avg.</a:t>
          </a:r>
          <a:r>
            <a:rPr lang="en-US" sz="1600" b="1" baseline="0">
              <a:solidFill>
                <a:schemeClr val="bg1"/>
              </a:solidFill>
              <a:latin typeface="Garamond" panose="02020404030301010803" pitchFamily="18" charset="0"/>
            </a:rPr>
            <a:t> Revenue Per Customer</a:t>
          </a:r>
          <a:endParaRPr lang="en-NG" sz="1600" b="1">
            <a:solidFill>
              <a:schemeClr val="bg1"/>
            </a:solidFill>
            <a:latin typeface="Garamond" panose="02020404030301010803" pitchFamily="18" charset="0"/>
          </a:endParaRPr>
        </a:p>
      </xdr:txBody>
    </xdr:sp>
    <xdr:clientData/>
  </xdr:twoCellAnchor>
  <xdr:twoCellAnchor>
    <xdr:from>
      <xdr:col>19</xdr:col>
      <xdr:colOff>133350</xdr:colOff>
      <xdr:row>6</xdr:row>
      <xdr:rowOff>44055</xdr:rowOff>
    </xdr:from>
    <xdr:to>
      <xdr:col>23</xdr:col>
      <xdr:colOff>595313</xdr:colOff>
      <xdr:row>9</xdr:row>
      <xdr:rowOff>29766</xdr:rowOff>
    </xdr:to>
    <xdr:sp macro="" textlink="">
      <xdr:nvSpPr>
        <xdr:cNvPr id="31" name="TextBox 30">
          <a:extLst>
            <a:ext uri="{FF2B5EF4-FFF2-40B4-BE49-F238E27FC236}">
              <a16:creationId xmlns:a16="http://schemas.microsoft.com/office/drawing/2014/main" id="{002E35CA-3FE2-25F4-84E5-685A7E183418}"/>
            </a:ext>
          </a:extLst>
        </xdr:cNvPr>
        <xdr:cNvSpPr txBox="1"/>
      </xdr:nvSpPr>
      <xdr:spPr>
        <a:xfrm>
          <a:off x="10968038" y="728664"/>
          <a:ext cx="2902744" cy="566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Garamond" panose="02020404030301010803" pitchFamily="18" charset="0"/>
            </a:rPr>
            <a:t>Avg.</a:t>
          </a:r>
          <a:r>
            <a:rPr lang="en-US" sz="1600" b="1" baseline="0">
              <a:solidFill>
                <a:schemeClr val="bg1"/>
              </a:solidFill>
              <a:latin typeface="Garamond" panose="02020404030301010803" pitchFamily="18" charset="0"/>
            </a:rPr>
            <a:t> Revenue Per Product</a:t>
          </a:r>
          <a:endParaRPr lang="en-NG" sz="1600" b="1">
            <a:solidFill>
              <a:schemeClr val="bg1"/>
            </a:solidFill>
            <a:latin typeface="Garamond" panose="02020404030301010803" pitchFamily="18" charset="0"/>
          </a:endParaRPr>
        </a:p>
      </xdr:txBody>
    </xdr:sp>
    <xdr:clientData/>
  </xdr:twoCellAnchor>
  <xdr:twoCellAnchor>
    <xdr:from>
      <xdr:col>15</xdr:col>
      <xdr:colOff>89296</xdr:colOff>
      <xdr:row>12</xdr:row>
      <xdr:rowOff>89298</xdr:rowOff>
    </xdr:from>
    <xdr:to>
      <xdr:col>23</xdr:col>
      <xdr:colOff>491132</xdr:colOff>
      <xdr:row>49</xdr:row>
      <xdr:rowOff>89296</xdr:rowOff>
    </xdr:to>
    <xdr:sp macro="" textlink="">
      <xdr:nvSpPr>
        <xdr:cNvPr id="62" name="Rectangle: Diagonal Corners Rounded 61">
          <a:extLst>
            <a:ext uri="{FF2B5EF4-FFF2-40B4-BE49-F238E27FC236}">
              <a16:creationId xmlns:a16="http://schemas.microsoft.com/office/drawing/2014/main" id="{25BD4FB2-DCA2-BB00-4E12-8786E810A7F3}"/>
            </a:ext>
          </a:extLst>
        </xdr:cNvPr>
        <xdr:cNvSpPr/>
      </xdr:nvSpPr>
      <xdr:spPr>
        <a:xfrm>
          <a:off x="9093398" y="1934767"/>
          <a:ext cx="4673203" cy="7158631"/>
        </a:xfrm>
        <a:prstGeom prst="round2DiagRect">
          <a:avLst>
            <a:gd name="adj1" fmla="val 16667"/>
            <a:gd name="adj2" fmla="val 0"/>
          </a:avLst>
        </a:prstGeom>
        <a:solidFill>
          <a:schemeClr val="bg1"/>
        </a:solidFill>
        <a:ln>
          <a:noFill/>
        </a:ln>
        <a:effectLst>
          <a:outerShdw blurRad="127000" dist="38100" dir="2700000" algn="tl" rotWithShape="0">
            <a:schemeClr val="bg2">
              <a:lumMod val="75000"/>
              <a:alpha val="86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endParaRPr lang="en-NG" sz="1100"/>
        </a:p>
      </xdr:txBody>
    </xdr:sp>
    <xdr:clientData/>
  </xdr:twoCellAnchor>
  <xdr:twoCellAnchor>
    <xdr:from>
      <xdr:col>17</xdr:col>
      <xdr:colOff>585786</xdr:colOff>
      <xdr:row>6</xdr:row>
      <xdr:rowOff>29172</xdr:rowOff>
    </xdr:from>
    <xdr:to>
      <xdr:col>18</xdr:col>
      <xdr:colOff>606027</xdr:colOff>
      <xdr:row>9</xdr:row>
      <xdr:rowOff>159544</xdr:rowOff>
    </xdr:to>
    <xdr:grpSp>
      <xdr:nvGrpSpPr>
        <xdr:cNvPr id="38" name="Group 37">
          <a:extLst>
            <a:ext uri="{FF2B5EF4-FFF2-40B4-BE49-F238E27FC236}">
              <a16:creationId xmlns:a16="http://schemas.microsoft.com/office/drawing/2014/main" id="{6C84E187-FD61-1E8A-47D6-B6844C91CC9E}"/>
            </a:ext>
          </a:extLst>
        </xdr:cNvPr>
        <xdr:cNvGrpSpPr/>
      </xdr:nvGrpSpPr>
      <xdr:grpSpPr>
        <a:xfrm>
          <a:off x="10210301" y="697344"/>
          <a:ext cx="631547" cy="684812"/>
          <a:chOff x="10200083" y="713781"/>
          <a:chExt cx="630436" cy="710802"/>
        </a:xfrm>
      </xdr:grpSpPr>
      <xdr:sp macro="" textlink="">
        <xdr:nvSpPr>
          <xdr:cNvPr id="27" name="Rectangle: Rounded Corners 26">
            <a:extLst>
              <a:ext uri="{FF2B5EF4-FFF2-40B4-BE49-F238E27FC236}">
                <a16:creationId xmlns:a16="http://schemas.microsoft.com/office/drawing/2014/main" id="{D0EC64AC-6327-6140-09A1-EB05D6EA9C13}"/>
              </a:ext>
            </a:extLst>
          </xdr:cNvPr>
          <xdr:cNvSpPr/>
        </xdr:nvSpPr>
        <xdr:spPr>
          <a:xfrm>
            <a:off x="10200083" y="713781"/>
            <a:ext cx="630436" cy="710802"/>
          </a:xfrm>
          <a:prstGeom prst="roundRect">
            <a:avLst/>
          </a:prstGeom>
          <a:solidFill>
            <a:srgbClr val="FAEBC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pic>
        <xdr:nvPicPr>
          <xdr:cNvPr id="53" name="Picture 52">
            <a:extLst>
              <a:ext uri="{FF2B5EF4-FFF2-40B4-BE49-F238E27FC236}">
                <a16:creationId xmlns:a16="http://schemas.microsoft.com/office/drawing/2014/main" id="{9FFA7F84-E24C-7570-BB71-0F0F338C8C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09966" y="863203"/>
            <a:ext cx="613165" cy="386954"/>
          </a:xfrm>
          <a:prstGeom prst="rect">
            <a:avLst/>
          </a:prstGeom>
        </xdr:spPr>
      </xdr:pic>
    </xdr:grpSp>
    <xdr:clientData/>
  </xdr:twoCellAnchor>
  <xdr:twoCellAnchor>
    <xdr:from>
      <xdr:col>11</xdr:col>
      <xdr:colOff>165496</xdr:colOff>
      <xdr:row>6</xdr:row>
      <xdr:rowOff>25600</xdr:rowOff>
    </xdr:from>
    <xdr:to>
      <xdr:col>12</xdr:col>
      <xdr:colOff>185736</xdr:colOff>
      <xdr:row>9</xdr:row>
      <xdr:rowOff>155972</xdr:rowOff>
    </xdr:to>
    <xdr:grpSp>
      <xdr:nvGrpSpPr>
        <xdr:cNvPr id="39" name="Group 38">
          <a:extLst>
            <a:ext uri="{FF2B5EF4-FFF2-40B4-BE49-F238E27FC236}">
              <a16:creationId xmlns:a16="http://schemas.microsoft.com/office/drawing/2014/main" id="{5B5706FE-F1EC-80D1-88F4-DF32579041C1}"/>
            </a:ext>
          </a:extLst>
        </xdr:cNvPr>
        <xdr:cNvGrpSpPr/>
      </xdr:nvGrpSpPr>
      <xdr:grpSpPr>
        <a:xfrm>
          <a:off x="6889862" y="693772"/>
          <a:ext cx="631546" cy="684812"/>
          <a:chOff x="6877644" y="710209"/>
          <a:chExt cx="630436" cy="710802"/>
        </a:xfrm>
      </xdr:grpSpPr>
      <xdr:sp macro="" textlink="">
        <xdr:nvSpPr>
          <xdr:cNvPr id="26" name="Rectangle: Rounded Corners 25">
            <a:extLst>
              <a:ext uri="{FF2B5EF4-FFF2-40B4-BE49-F238E27FC236}">
                <a16:creationId xmlns:a16="http://schemas.microsoft.com/office/drawing/2014/main" id="{0CB2B10B-0855-B66C-7C35-B1FE200828A3}"/>
              </a:ext>
            </a:extLst>
          </xdr:cNvPr>
          <xdr:cNvSpPr/>
        </xdr:nvSpPr>
        <xdr:spPr>
          <a:xfrm>
            <a:off x="6877644" y="710209"/>
            <a:ext cx="630436" cy="710802"/>
          </a:xfrm>
          <a:prstGeom prst="roundRect">
            <a:avLst/>
          </a:prstGeom>
          <a:solidFill>
            <a:srgbClr val="FAEBC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pic>
        <xdr:nvPicPr>
          <xdr:cNvPr id="59" name="Picture 58">
            <a:extLst>
              <a:ext uri="{FF2B5EF4-FFF2-40B4-BE49-F238E27FC236}">
                <a16:creationId xmlns:a16="http://schemas.microsoft.com/office/drawing/2014/main" id="{8CC74AC1-0CF2-1C59-ACF9-A630A5E8C01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6921485" y="803673"/>
            <a:ext cx="535781" cy="535781"/>
          </a:xfrm>
          <a:prstGeom prst="rect">
            <a:avLst/>
          </a:prstGeom>
        </xdr:spPr>
      </xdr:pic>
    </xdr:grpSp>
    <xdr:clientData/>
  </xdr:twoCellAnchor>
  <xdr:twoCellAnchor>
    <xdr:from>
      <xdr:col>6</xdr:col>
      <xdr:colOff>117276</xdr:colOff>
      <xdr:row>6</xdr:row>
      <xdr:rowOff>66677</xdr:rowOff>
    </xdr:from>
    <xdr:to>
      <xdr:col>7</xdr:col>
      <xdr:colOff>137517</xdr:colOff>
      <xdr:row>10</xdr:row>
      <xdr:rowOff>3572</xdr:rowOff>
    </xdr:to>
    <xdr:grpSp>
      <xdr:nvGrpSpPr>
        <xdr:cNvPr id="40" name="Group 39">
          <a:extLst>
            <a:ext uri="{FF2B5EF4-FFF2-40B4-BE49-F238E27FC236}">
              <a16:creationId xmlns:a16="http://schemas.microsoft.com/office/drawing/2014/main" id="{CEB5131E-54D5-095D-2A74-06FA09535735}"/>
            </a:ext>
          </a:extLst>
        </xdr:cNvPr>
        <xdr:cNvGrpSpPr/>
      </xdr:nvGrpSpPr>
      <xdr:grpSpPr>
        <a:xfrm>
          <a:off x="3785112" y="734849"/>
          <a:ext cx="631547" cy="676148"/>
          <a:chOff x="3778448" y="751286"/>
          <a:chExt cx="630436" cy="710802"/>
        </a:xfrm>
      </xdr:grpSpPr>
      <xdr:sp macro="" textlink="">
        <xdr:nvSpPr>
          <xdr:cNvPr id="25" name="Rectangle: Rounded Corners 24">
            <a:extLst>
              <a:ext uri="{FF2B5EF4-FFF2-40B4-BE49-F238E27FC236}">
                <a16:creationId xmlns:a16="http://schemas.microsoft.com/office/drawing/2014/main" id="{84E48B20-B06C-A544-65E4-EAE4FE543A85}"/>
              </a:ext>
            </a:extLst>
          </xdr:cNvPr>
          <xdr:cNvSpPr/>
        </xdr:nvSpPr>
        <xdr:spPr>
          <a:xfrm>
            <a:off x="3778448" y="751286"/>
            <a:ext cx="630436" cy="710802"/>
          </a:xfrm>
          <a:prstGeom prst="roundRect">
            <a:avLst/>
          </a:prstGeom>
          <a:solidFill>
            <a:srgbClr val="FAEBC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pic>
        <xdr:nvPicPr>
          <xdr:cNvPr id="61" name="Picture 60">
            <a:extLst>
              <a:ext uri="{FF2B5EF4-FFF2-40B4-BE49-F238E27FC236}">
                <a16:creationId xmlns:a16="http://schemas.microsoft.com/office/drawing/2014/main" id="{7D754B6C-4F2B-E4BC-2E57-D4EEC187C78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871128" y="825997"/>
            <a:ext cx="491133" cy="491133"/>
          </a:xfrm>
          <a:prstGeom prst="rect">
            <a:avLst/>
          </a:prstGeom>
        </xdr:spPr>
      </xdr:pic>
    </xdr:grpSp>
    <xdr:clientData/>
  </xdr:twoCellAnchor>
  <xdr:twoCellAnchor>
    <xdr:from>
      <xdr:col>0</xdr:col>
      <xdr:colOff>441325</xdr:colOff>
      <xdr:row>12</xdr:row>
      <xdr:rowOff>137516</xdr:rowOff>
    </xdr:from>
    <xdr:to>
      <xdr:col>7</xdr:col>
      <xdr:colOff>401836</xdr:colOff>
      <xdr:row>50</xdr:row>
      <xdr:rowOff>44648</xdr:rowOff>
    </xdr:to>
    <xdr:sp macro="" textlink="">
      <xdr:nvSpPr>
        <xdr:cNvPr id="63" name="Rectangle: Diagonal Corners Rounded 62">
          <a:extLst>
            <a:ext uri="{FF2B5EF4-FFF2-40B4-BE49-F238E27FC236}">
              <a16:creationId xmlns:a16="http://schemas.microsoft.com/office/drawing/2014/main" id="{D686194A-19CC-48AF-A273-36B75F5599FC}"/>
            </a:ext>
          </a:extLst>
        </xdr:cNvPr>
        <xdr:cNvSpPr/>
      </xdr:nvSpPr>
      <xdr:spPr>
        <a:xfrm>
          <a:off x="441325" y="1982985"/>
          <a:ext cx="4231878" cy="7259241"/>
        </a:xfrm>
        <a:prstGeom prst="round2DiagRect">
          <a:avLst/>
        </a:prstGeom>
        <a:solidFill>
          <a:schemeClr val="bg1"/>
        </a:solidFill>
        <a:ln>
          <a:noFill/>
        </a:ln>
        <a:effectLst>
          <a:outerShdw blurRad="127000" dist="38100" dir="2700000" algn="tl" rotWithShape="0">
            <a:schemeClr val="bg2">
              <a:lumMod val="75000"/>
              <a:alpha val="86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400"/>
        </a:p>
      </xdr:txBody>
    </xdr:sp>
    <xdr:clientData/>
  </xdr:twoCellAnchor>
  <xdr:twoCellAnchor>
    <xdr:from>
      <xdr:col>24</xdr:col>
      <xdr:colOff>133945</xdr:colOff>
      <xdr:row>4</xdr:row>
      <xdr:rowOff>89298</xdr:rowOff>
    </xdr:from>
    <xdr:to>
      <xdr:col>31</xdr:col>
      <xdr:colOff>44649</xdr:colOff>
      <xdr:row>49</xdr:row>
      <xdr:rowOff>133945</xdr:rowOff>
    </xdr:to>
    <xdr:sp macro="" textlink="">
      <xdr:nvSpPr>
        <xdr:cNvPr id="64" name="Rectangle: Diagonal Corners Rounded 63">
          <a:extLst>
            <a:ext uri="{FF2B5EF4-FFF2-40B4-BE49-F238E27FC236}">
              <a16:creationId xmlns:a16="http://schemas.microsoft.com/office/drawing/2014/main" id="{0FCE2297-B471-6BFB-6105-B5542B469DFE}"/>
            </a:ext>
          </a:extLst>
        </xdr:cNvPr>
        <xdr:cNvSpPr/>
      </xdr:nvSpPr>
      <xdr:spPr>
        <a:xfrm>
          <a:off x="13917180" y="380651"/>
          <a:ext cx="4146528" cy="8617147"/>
        </a:xfrm>
        <a:prstGeom prst="round2DiagRect">
          <a:avLst>
            <a:gd name="adj1" fmla="val 16667"/>
            <a:gd name="adj2" fmla="val 1081"/>
          </a:avLst>
        </a:prstGeom>
        <a:solidFill>
          <a:schemeClr val="bg1"/>
        </a:solidFill>
        <a:ln>
          <a:noFill/>
        </a:ln>
        <a:effectLst>
          <a:outerShdw blurRad="127000" dist="38100" dir="2700000" algn="tl" rotWithShape="0">
            <a:schemeClr val="bg2">
              <a:lumMod val="75000"/>
              <a:alpha val="86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74266</xdr:colOff>
      <xdr:row>6</xdr:row>
      <xdr:rowOff>48220</xdr:rowOff>
    </xdr:from>
    <xdr:to>
      <xdr:col>5</xdr:col>
      <xdr:colOff>464940</xdr:colOff>
      <xdr:row>10</xdr:row>
      <xdr:rowOff>7579</xdr:rowOff>
    </xdr:to>
    <xdr:grpSp>
      <xdr:nvGrpSpPr>
        <xdr:cNvPr id="41" name="Group 40">
          <a:extLst>
            <a:ext uri="{FF2B5EF4-FFF2-40B4-BE49-F238E27FC236}">
              <a16:creationId xmlns:a16="http://schemas.microsoft.com/office/drawing/2014/main" id="{0733BB35-0AF8-FFBC-A35F-643EE1CF28FC}"/>
            </a:ext>
          </a:extLst>
        </xdr:cNvPr>
        <xdr:cNvGrpSpPr/>
      </xdr:nvGrpSpPr>
      <xdr:grpSpPr>
        <a:xfrm>
          <a:off x="685572" y="716392"/>
          <a:ext cx="2835898" cy="698612"/>
          <a:chOff x="684461" y="732829"/>
          <a:chExt cx="2831456" cy="733266"/>
        </a:xfrm>
      </xdr:grpSpPr>
      <xdr:sp macro="" textlink="">
        <xdr:nvSpPr>
          <xdr:cNvPr id="24" name="Rectangle: Rounded Corners 23">
            <a:extLst>
              <a:ext uri="{FF2B5EF4-FFF2-40B4-BE49-F238E27FC236}">
                <a16:creationId xmlns:a16="http://schemas.microsoft.com/office/drawing/2014/main" id="{432190A4-1747-4E1A-E77D-A590BF42E4F3}"/>
              </a:ext>
            </a:extLst>
          </xdr:cNvPr>
          <xdr:cNvSpPr/>
        </xdr:nvSpPr>
        <xdr:spPr>
          <a:xfrm>
            <a:off x="768548" y="747714"/>
            <a:ext cx="630436" cy="710802"/>
          </a:xfrm>
          <a:prstGeom prst="roundRect">
            <a:avLst/>
          </a:prstGeom>
          <a:solidFill>
            <a:srgbClr val="FAEBC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28" name="TextBox 27">
            <a:extLst>
              <a:ext uri="{FF2B5EF4-FFF2-40B4-BE49-F238E27FC236}">
                <a16:creationId xmlns:a16="http://schemas.microsoft.com/office/drawing/2014/main" id="{F72344D0-AF2D-FCA6-72F6-516C10B800B5}"/>
              </a:ext>
            </a:extLst>
          </xdr:cNvPr>
          <xdr:cNvSpPr txBox="1"/>
        </xdr:nvSpPr>
        <xdr:spPr>
          <a:xfrm>
            <a:off x="1476971" y="732829"/>
            <a:ext cx="1871663" cy="308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Garamond" panose="02020404030301010803" pitchFamily="18" charset="0"/>
                <a:cs typeface="Arial" panose="020B0604020202020204" pitchFamily="34" charset="0"/>
              </a:rPr>
              <a:t>Total</a:t>
            </a:r>
            <a:r>
              <a:rPr lang="en-US" sz="1600" b="1" baseline="0">
                <a:solidFill>
                  <a:schemeClr val="bg1"/>
                </a:solidFill>
                <a:latin typeface="Garamond" panose="02020404030301010803" pitchFamily="18" charset="0"/>
                <a:cs typeface="Arial" panose="020B0604020202020204" pitchFamily="34" charset="0"/>
              </a:rPr>
              <a:t> Unit Sold</a:t>
            </a:r>
            <a:endParaRPr lang="en-NG" sz="1600" b="1">
              <a:solidFill>
                <a:schemeClr val="bg1"/>
              </a:solidFill>
              <a:latin typeface="Garamond" panose="02020404030301010803" pitchFamily="18" charset="0"/>
              <a:cs typeface="Arial" panose="020B0604020202020204" pitchFamily="34" charset="0"/>
            </a:endParaRPr>
          </a:p>
        </xdr:txBody>
      </xdr:sp>
      <xdr:pic>
        <xdr:nvPicPr>
          <xdr:cNvPr id="55" name="Picture 54">
            <a:extLst>
              <a:ext uri="{FF2B5EF4-FFF2-40B4-BE49-F238E27FC236}">
                <a16:creationId xmlns:a16="http://schemas.microsoft.com/office/drawing/2014/main" id="{65071D08-3825-2FA7-0684-CC3E34775F6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84461" y="922735"/>
            <a:ext cx="746506" cy="416719"/>
          </a:xfrm>
          <a:prstGeom prst="rect">
            <a:avLst/>
          </a:prstGeom>
        </xdr:spPr>
      </xdr:pic>
      <xdr:sp macro="" textlink="">
        <xdr:nvSpPr>
          <xdr:cNvPr id="66" name="TextBox 65">
            <a:extLst>
              <a:ext uri="{FF2B5EF4-FFF2-40B4-BE49-F238E27FC236}">
                <a16:creationId xmlns:a16="http://schemas.microsoft.com/office/drawing/2014/main" id="{C2861084-90CA-32B0-E436-E83114D6F774}"/>
              </a:ext>
            </a:extLst>
          </xdr:cNvPr>
          <xdr:cNvSpPr txBox="1"/>
        </xdr:nvSpPr>
        <xdr:spPr>
          <a:xfrm>
            <a:off x="1644254" y="1101511"/>
            <a:ext cx="1871663" cy="364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G" sz="2000" b="0" i="0" u="none" strike="noStrike">
                <a:solidFill>
                  <a:schemeClr val="bg1"/>
                </a:solidFill>
                <a:effectLst/>
                <a:latin typeface="Garamond" panose="02020404030301010803" pitchFamily="18" charset="0"/>
                <a:ea typeface="+mn-ea"/>
                <a:cs typeface="+mn-cs"/>
              </a:rPr>
              <a:t>10290</a:t>
            </a:r>
            <a:r>
              <a:rPr lang="en-NG" sz="2000">
                <a:solidFill>
                  <a:schemeClr val="bg1"/>
                </a:solidFill>
                <a:effectLst/>
                <a:latin typeface="Garamond" panose="02020404030301010803" pitchFamily="18" charset="0"/>
              </a:rPr>
              <a:t> </a:t>
            </a:r>
            <a:endParaRPr lang="en-NG" sz="2000" b="1">
              <a:solidFill>
                <a:schemeClr val="bg1"/>
              </a:solidFill>
              <a:latin typeface="Garamond" panose="02020404030301010803" pitchFamily="18" charset="0"/>
              <a:cs typeface="Arial" panose="020B0604020202020204" pitchFamily="34" charset="0"/>
            </a:endParaRPr>
          </a:p>
        </xdr:txBody>
      </xdr:sp>
    </xdr:grpSp>
    <xdr:clientData/>
  </xdr:twoCellAnchor>
  <xdr:twoCellAnchor>
    <xdr:from>
      <xdr:col>7</xdr:col>
      <xdr:colOff>314524</xdr:colOff>
      <xdr:row>7</xdr:row>
      <xdr:rowOff>168632</xdr:rowOff>
    </xdr:from>
    <xdr:to>
      <xdr:col>10</xdr:col>
      <xdr:colOff>586582</xdr:colOff>
      <xdr:row>10</xdr:row>
      <xdr:rowOff>62373</xdr:rowOff>
    </xdr:to>
    <xdr:sp macro="" textlink="">
      <xdr:nvSpPr>
        <xdr:cNvPr id="67" name="TextBox 66">
          <a:extLst>
            <a:ext uri="{FF2B5EF4-FFF2-40B4-BE49-F238E27FC236}">
              <a16:creationId xmlns:a16="http://schemas.microsoft.com/office/drawing/2014/main" id="{03C17E0F-5233-D4F2-5AFC-CB678798F8A3}"/>
            </a:ext>
          </a:extLst>
        </xdr:cNvPr>
        <xdr:cNvSpPr txBox="1"/>
      </xdr:nvSpPr>
      <xdr:spPr>
        <a:xfrm>
          <a:off x="4585891" y="1046718"/>
          <a:ext cx="2102644" cy="474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G" sz="2000" b="0" i="0" u="none" strike="noStrike">
              <a:solidFill>
                <a:schemeClr val="bg1"/>
              </a:solidFill>
              <a:effectLst/>
              <a:latin typeface="Garamond" panose="02020404030301010803" pitchFamily="18" charset="0"/>
              <a:ea typeface="+mn-ea"/>
              <a:cs typeface="+mn-cs"/>
            </a:rPr>
            <a:t>$199,348,200</a:t>
          </a:r>
          <a:endParaRPr lang="en-NG" sz="2000" b="1">
            <a:solidFill>
              <a:schemeClr val="bg1"/>
            </a:solidFill>
            <a:latin typeface="Garamond" panose="02020404030301010803" pitchFamily="18" charset="0"/>
            <a:cs typeface="Arial" panose="020B0604020202020204" pitchFamily="34" charset="0"/>
          </a:endParaRPr>
        </a:p>
      </xdr:txBody>
    </xdr:sp>
    <xdr:clientData/>
  </xdr:twoCellAnchor>
  <xdr:twoCellAnchor>
    <xdr:from>
      <xdr:col>13</xdr:col>
      <xdr:colOff>34329</xdr:colOff>
      <xdr:row>7</xdr:row>
      <xdr:rowOff>183736</xdr:rowOff>
    </xdr:from>
    <xdr:to>
      <xdr:col>18</xdr:col>
      <xdr:colOff>257572</xdr:colOff>
      <xdr:row>10</xdr:row>
      <xdr:rowOff>47268</xdr:rowOff>
    </xdr:to>
    <xdr:sp macro="" textlink="">
      <xdr:nvSpPr>
        <xdr:cNvPr id="68" name="TextBox 67">
          <a:extLst>
            <a:ext uri="{FF2B5EF4-FFF2-40B4-BE49-F238E27FC236}">
              <a16:creationId xmlns:a16="http://schemas.microsoft.com/office/drawing/2014/main" id="{963D7A03-04BD-8051-5792-B0006FD1A51E}"/>
            </a:ext>
          </a:extLst>
        </xdr:cNvPr>
        <xdr:cNvSpPr txBox="1"/>
      </xdr:nvSpPr>
      <xdr:spPr>
        <a:xfrm>
          <a:off x="7966868" y="1061822"/>
          <a:ext cx="2515196" cy="443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G" sz="2000" b="0" i="0" u="none" strike="noStrike">
              <a:solidFill>
                <a:schemeClr val="bg1"/>
              </a:solidFill>
              <a:effectLst/>
              <a:latin typeface="Garamond" panose="02020404030301010803" pitchFamily="18" charset="0"/>
              <a:ea typeface="+mn-ea"/>
              <a:cs typeface="+mn-cs"/>
            </a:rPr>
            <a:t>$401,103</a:t>
          </a:r>
          <a:r>
            <a:rPr lang="en-NG" sz="2000">
              <a:solidFill>
                <a:schemeClr val="bg1"/>
              </a:solidFill>
              <a:effectLst/>
              <a:latin typeface="Garamond" panose="02020404030301010803" pitchFamily="18" charset="0"/>
            </a:rPr>
            <a:t> </a:t>
          </a:r>
          <a:endParaRPr lang="en-NG" sz="2000" b="1">
            <a:solidFill>
              <a:schemeClr val="bg1"/>
            </a:solidFill>
            <a:latin typeface="Garamond" panose="02020404030301010803" pitchFamily="18" charset="0"/>
          </a:endParaRPr>
        </a:p>
      </xdr:txBody>
    </xdr:sp>
    <xdr:clientData/>
  </xdr:twoCellAnchor>
  <xdr:twoCellAnchor>
    <xdr:from>
      <xdr:col>20</xdr:col>
      <xdr:colOff>32742</xdr:colOff>
      <xdr:row>8</xdr:row>
      <xdr:rowOff>2977</xdr:rowOff>
    </xdr:from>
    <xdr:to>
      <xdr:col>24</xdr:col>
      <xdr:colOff>386953</xdr:colOff>
      <xdr:row>10</xdr:row>
      <xdr:rowOff>153613</xdr:rowOff>
    </xdr:to>
    <xdr:sp macro="" textlink="">
      <xdr:nvSpPr>
        <xdr:cNvPr id="69" name="TextBox 68">
          <a:extLst>
            <a:ext uri="{FF2B5EF4-FFF2-40B4-BE49-F238E27FC236}">
              <a16:creationId xmlns:a16="http://schemas.microsoft.com/office/drawing/2014/main" id="{07E25C75-5C5C-B192-6E7F-C858817074A4}"/>
            </a:ext>
          </a:extLst>
        </xdr:cNvPr>
        <xdr:cNvSpPr txBox="1"/>
      </xdr:nvSpPr>
      <xdr:spPr>
        <a:xfrm>
          <a:off x="11477625" y="1074540"/>
          <a:ext cx="2794992" cy="537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G" sz="2000" b="0" i="0" u="none" strike="noStrike">
              <a:solidFill>
                <a:schemeClr val="bg1"/>
              </a:solidFill>
              <a:effectLst/>
              <a:latin typeface="Garamond" panose="02020404030301010803" pitchFamily="18" charset="0"/>
              <a:ea typeface="+mn-ea"/>
              <a:cs typeface="+mn-cs"/>
            </a:rPr>
            <a:t>$49,837,050</a:t>
          </a:r>
          <a:r>
            <a:rPr lang="en-NG" sz="2000">
              <a:solidFill>
                <a:schemeClr val="bg1"/>
              </a:solidFill>
              <a:effectLst/>
              <a:latin typeface="Garamond" panose="02020404030301010803" pitchFamily="18" charset="0"/>
            </a:rPr>
            <a:t> </a:t>
          </a:r>
          <a:endParaRPr lang="en-NG" sz="2000" b="1">
            <a:solidFill>
              <a:schemeClr val="bg1"/>
            </a:solidFill>
            <a:latin typeface="Garamond" panose="02020404030301010803" pitchFamily="18" charset="0"/>
          </a:endParaRPr>
        </a:p>
      </xdr:txBody>
    </xdr:sp>
    <xdr:clientData/>
  </xdr:twoCellAnchor>
  <xdr:twoCellAnchor>
    <xdr:from>
      <xdr:col>0</xdr:col>
      <xdr:colOff>408980</xdr:colOff>
      <xdr:row>31</xdr:row>
      <xdr:rowOff>133947</xdr:rowOff>
    </xdr:from>
    <xdr:to>
      <xdr:col>8</xdr:col>
      <xdr:colOff>312539</xdr:colOff>
      <xdr:row>34</xdr:row>
      <xdr:rowOff>59533</xdr:rowOff>
    </xdr:to>
    <xdr:sp macro="" textlink="">
      <xdr:nvSpPr>
        <xdr:cNvPr id="72" name="TextBox 71">
          <a:extLst>
            <a:ext uri="{FF2B5EF4-FFF2-40B4-BE49-F238E27FC236}">
              <a16:creationId xmlns:a16="http://schemas.microsoft.com/office/drawing/2014/main" id="{C3BE3A1D-189E-096B-BD5A-838B5AADFAEB}"/>
            </a:ext>
          </a:extLst>
        </xdr:cNvPr>
        <xdr:cNvSpPr txBox="1"/>
      </xdr:nvSpPr>
      <xdr:spPr>
        <a:xfrm>
          <a:off x="408980" y="5655470"/>
          <a:ext cx="4785122" cy="5060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tx1"/>
              </a:solidFill>
              <a:latin typeface="Garamond" panose="02020404030301010803" pitchFamily="18" charset="0"/>
              <a:cs typeface="Arial" panose="020B0604020202020204" pitchFamily="34" charset="0"/>
            </a:rPr>
            <a:t> Top</a:t>
          </a:r>
          <a:r>
            <a:rPr lang="en-US" sz="2000" b="0" baseline="0">
              <a:solidFill>
                <a:schemeClr val="tx1"/>
              </a:solidFill>
              <a:latin typeface="Garamond" panose="02020404030301010803" pitchFamily="18" charset="0"/>
              <a:cs typeface="Arial" panose="020B0604020202020204" pitchFamily="34" charset="0"/>
            </a:rPr>
            <a:t> 10 </a:t>
          </a:r>
          <a:r>
            <a:rPr lang="en-US" sz="2000" b="0">
              <a:solidFill>
                <a:schemeClr val="tx1"/>
              </a:solidFill>
              <a:latin typeface="Garamond" panose="02020404030301010803" pitchFamily="18" charset="0"/>
              <a:cs typeface="Arial" panose="020B0604020202020204" pitchFamily="34" charset="0"/>
            </a:rPr>
            <a:t>Data</a:t>
          </a:r>
          <a:r>
            <a:rPr lang="en-US" sz="2000" b="0" baseline="0">
              <a:solidFill>
                <a:schemeClr val="tx1"/>
              </a:solidFill>
              <a:latin typeface="Garamond" panose="02020404030301010803" pitchFamily="18" charset="0"/>
              <a:cs typeface="Arial" panose="020B0604020202020204" pitchFamily="34" charset="0"/>
            </a:rPr>
            <a:t> Usage by Subcription Plan</a:t>
          </a:r>
          <a:endParaRPr lang="en-NG" sz="2000" b="0">
            <a:solidFill>
              <a:schemeClr val="tx1"/>
            </a:solidFill>
            <a:latin typeface="Garamond" panose="02020404030301010803" pitchFamily="18" charset="0"/>
            <a:cs typeface="Arial" panose="020B0604020202020204" pitchFamily="34" charset="0"/>
          </a:endParaRPr>
        </a:p>
      </xdr:txBody>
    </xdr:sp>
    <xdr:clientData/>
  </xdr:twoCellAnchor>
  <xdr:twoCellAnchor>
    <xdr:from>
      <xdr:col>0</xdr:col>
      <xdr:colOff>535781</xdr:colOff>
      <xdr:row>15</xdr:row>
      <xdr:rowOff>2</xdr:rowOff>
    </xdr:from>
    <xdr:to>
      <xdr:col>3</xdr:col>
      <xdr:colOff>253007</xdr:colOff>
      <xdr:row>22</xdr:row>
      <xdr:rowOff>2</xdr:rowOff>
    </xdr:to>
    <xdr:graphicFrame macro="">
      <xdr:nvGraphicFramePr>
        <xdr:cNvPr id="7" name="Chart 6">
          <a:extLst>
            <a:ext uri="{FF2B5EF4-FFF2-40B4-BE49-F238E27FC236}">
              <a16:creationId xmlns:a16="http://schemas.microsoft.com/office/drawing/2014/main" id="{FCC20AFD-8E9F-42C0-BEAF-B19BD16FC1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535781</xdr:colOff>
      <xdr:row>33</xdr:row>
      <xdr:rowOff>119061</xdr:rowOff>
    </xdr:from>
    <xdr:to>
      <xdr:col>6</xdr:col>
      <xdr:colOff>580430</xdr:colOff>
      <xdr:row>48</xdr:row>
      <xdr:rowOff>104180</xdr:rowOff>
    </xdr:to>
    <xdr:graphicFrame macro="">
      <xdr:nvGraphicFramePr>
        <xdr:cNvPr id="8" name="Chart 7">
          <a:extLst>
            <a:ext uri="{FF2B5EF4-FFF2-40B4-BE49-F238E27FC236}">
              <a16:creationId xmlns:a16="http://schemas.microsoft.com/office/drawing/2014/main" id="{5131C24A-81ED-4045-90F6-299E622DE7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580430</xdr:colOff>
      <xdr:row>22</xdr:row>
      <xdr:rowOff>152401</xdr:rowOff>
    </xdr:from>
    <xdr:to>
      <xdr:col>3</xdr:col>
      <xdr:colOff>297656</xdr:colOff>
      <xdr:row>29</xdr:row>
      <xdr:rowOff>152401</xdr:rowOff>
    </xdr:to>
    <xdr:graphicFrame macro="">
      <xdr:nvGraphicFramePr>
        <xdr:cNvPr id="12" name="Chart 11">
          <a:extLst>
            <a:ext uri="{FF2B5EF4-FFF2-40B4-BE49-F238E27FC236}">
              <a16:creationId xmlns:a16="http://schemas.microsoft.com/office/drawing/2014/main" id="{F3513E6C-9D62-56BC-5AC3-E0E91E69F0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382788</xdr:colOff>
      <xdr:row>17</xdr:row>
      <xdr:rowOff>93050</xdr:rowOff>
    </xdr:from>
    <xdr:to>
      <xdr:col>2</xdr:col>
      <xdr:colOff>476250</xdr:colOff>
      <xdr:row>19</xdr:row>
      <xdr:rowOff>89296</xdr:rowOff>
    </xdr:to>
    <xdr:sp macro="" textlink="">
      <xdr:nvSpPr>
        <xdr:cNvPr id="13" name="TextBox 12">
          <a:extLst>
            <a:ext uri="{FF2B5EF4-FFF2-40B4-BE49-F238E27FC236}">
              <a16:creationId xmlns:a16="http://schemas.microsoft.com/office/drawing/2014/main" id="{CBBE51F7-590C-3E21-537B-75F8B08C556D}"/>
            </a:ext>
          </a:extLst>
        </xdr:cNvPr>
        <xdr:cNvSpPr txBox="1"/>
      </xdr:nvSpPr>
      <xdr:spPr>
        <a:xfrm>
          <a:off x="992983" y="2905902"/>
          <a:ext cx="703658" cy="383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G" sz="2000" b="0" i="0" u="none" strike="noStrike">
              <a:solidFill>
                <a:schemeClr val="accent4">
                  <a:lumMod val="75000"/>
                </a:schemeClr>
              </a:solidFill>
              <a:effectLst/>
              <a:latin typeface="Garamond" panose="02020404030301010803" pitchFamily="18" charset="0"/>
              <a:ea typeface="+mn-ea"/>
              <a:cs typeface="+mn-cs"/>
            </a:rPr>
            <a:t>29%</a:t>
          </a:r>
          <a:r>
            <a:rPr lang="en-NG" sz="2000">
              <a:solidFill>
                <a:schemeClr val="accent4">
                  <a:lumMod val="75000"/>
                </a:schemeClr>
              </a:solidFill>
              <a:effectLst/>
              <a:latin typeface="Garamond" panose="02020404030301010803" pitchFamily="18" charset="0"/>
            </a:rPr>
            <a:t> </a:t>
          </a:r>
          <a:endParaRPr lang="en-NG" sz="2000" b="1">
            <a:solidFill>
              <a:schemeClr val="accent4">
                <a:lumMod val="75000"/>
              </a:schemeClr>
            </a:solidFill>
            <a:latin typeface="Garamond" panose="02020404030301010803" pitchFamily="18" charset="0"/>
            <a:cs typeface="Arial" panose="020B0604020202020204" pitchFamily="34" charset="0"/>
          </a:endParaRPr>
        </a:p>
      </xdr:txBody>
    </xdr:sp>
    <xdr:clientData/>
  </xdr:twoCellAnchor>
  <xdr:twoCellAnchor>
    <xdr:from>
      <xdr:col>1</xdr:col>
      <xdr:colOff>431008</xdr:colOff>
      <xdr:row>25</xdr:row>
      <xdr:rowOff>51973</xdr:rowOff>
    </xdr:from>
    <xdr:to>
      <xdr:col>2</xdr:col>
      <xdr:colOff>524470</xdr:colOff>
      <xdr:row>27</xdr:row>
      <xdr:rowOff>48219</xdr:rowOff>
    </xdr:to>
    <xdr:sp macro="" textlink="">
      <xdr:nvSpPr>
        <xdr:cNvPr id="14" name="TextBox 13">
          <a:extLst>
            <a:ext uri="{FF2B5EF4-FFF2-40B4-BE49-F238E27FC236}">
              <a16:creationId xmlns:a16="http://schemas.microsoft.com/office/drawing/2014/main" id="{0995555C-A7C8-4F5D-84CA-D7E4713178B9}"/>
            </a:ext>
          </a:extLst>
        </xdr:cNvPr>
        <xdr:cNvSpPr txBox="1"/>
      </xdr:nvSpPr>
      <xdr:spPr>
        <a:xfrm>
          <a:off x="1041203" y="4412637"/>
          <a:ext cx="703658" cy="383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G" sz="2000" b="0" i="0" u="none" strike="noStrike">
              <a:solidFill>
                <a:schemeClr val="accent4">
                  <a:lumMod val="75000"/>
                </a:schemeClr>
              </a:solidFill>
              <a:effectLst/>
              <a:latin typeface="Garamond" panose="02020404030301010803" pitchFamily="18" charset="0"/>
              <a:ea typeface="+mn-ea"/>
              <a:cs typeface="+mn-cs"/>
            </a:rPr>
            <a:t>71%</a:t>
          </a:r>
          <a:r>
            <a:rPr lang="en-NG" sz="2000">
              <a:solidFill>
                <a:schemeClr val="accent4">
                  <a:lumMod val="75000"/>
                </a:schemeClr>
              </a:solidFill>
              <a:effectLst/>
              <a:latin typeface="Garamond" panose="02020404030301010803" pitchFamily="18" charset="0"/>
            </a:rPr>
            <a:t>  </a:t>
          </a:r>
          <a:endParaRPr lang="en-NG" sz="2000" b="1">
            <a:solidFill>
              <a:schemeClr val="accent4">
                <a:lumMod val="75000"/>
              </a:schemeClr>
            </a:solidFill>
            <a:latin typeface="Garamond" panose="02020404030301010803" pitchFamily="18" charset="0"/>
            <a:cs typeface="Arial" panose="020B0604020202020204" pitchFamily="34" charset="0"/>
          </a:endParaRPr>
        </a:p>
      </xdr:txBody>
    </xdr:sp>
    <xdr:clientData/>
  </xdr:twoCellAnchor>
  <xdr:twoCellAnchor>
    <xdr:from>
      <xdr:col>1</xdr:col>
      <xdr:colOff>531616</xdr:colOff>
      <xdr:row>13</xdr:row>
      <xdr:rowOff>77988</xdr:rowOff>
    </xdr:from>
    <xdr:to>
      <xdr:col>6</xdr:col>
      <xdr:colOff>208359</xdr:colOff>
      <xdr:row>15</xdr:row>
      <xdr:rowOff>59531</xdr:rowOff>
    </xdr:to>
    <xdr:sp macro="" textlink="">
      <xdr:nvSpPr>
        <xdr:cNvPr id="6" name="TextBox 5">
          <a:extLst>
            <a:ext uri="{FF2B5EF4-FFF2-40B4-BE49-F238E27FC236}">
              <a16:creationId xmlns:a16="http://schemas.microsoft.com/office/drawing/2014/main" id="{18B406EA-B06C-8AE6-385B-7FD85769D18C}"/>
            </a:ext>
          </a:extLst>
        </xdr:cNvPr>
        <xdr:cNvSpPr txBox="1"/>
      </xdr:nvSpPr>
      <xdr:spPr>
        <a:xfrm>
          <a:off x="1141811" y="2116933"/>
          <a:ext cx="2727720" cy="3684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tx1"/>
              </a:solidFill>
              <a:latin typeface="Garamond" panose="02020404030301010803" pitchFamily="18" charset="0"/>
              <a:cs typeface="Arial" panose="020B0604020202020204" pitchFamily="34" charset="0"/>
            </a:rPr>
            <a:t>Customer</a:t>
          </a:r>
          <a:r>
            <a:rPr lang="en-US" sz="2000" b="1" baseline="0">
              <a:solidFill>
                <a:schemeClr val="tx1"/>
              </a:solidFill>
              <a:latin typeface="Garamond" panose="02020404030301010803" pitchFamily="18" charset="0"/>
              <a:cs typeface="Arial" panose="020B0604020202020204" pitchFamily="34" charset="0"/>
            </a:rPr>
            <a:t> Churn Status</a:t>
          </a:r>
          <a:endParaRPr lang="en-NG" sz="2000" b="1">
            <a:solidFill>
              <a:schemeClr val="tx1"/>
            </a:solidFill>
            <a:latin typeface="Garamond" panose="02020404030301010803" pitchFamily="18" charset="0"/>
            <a:cs typeface="Arial" panose="020B0604020202020204" pitchFamily="34" charset="0"/>
          </a:endParaRPr>
        </a:p>
      </xdr:txBody>
    </xdr:sp>
    <xdr:clientData/>
  </xdr:twoCellAnchor>
  <xdr:twoCellAnchor>
    <xdr:from>
      <xdr:col>3</xdr:col>
      <xdr:colOff>252414</xdr:colOff>
      <xdr:row>0</xdr:row>
      <xdr:rowOff>0</xdr:rowOff>
    </xdr:from>
    <xdr:to>
      <xdr:col>9</xdr:col>
      <xdr:colOff>92870</xdr:colOff>
      <xdr:row>0</xdr:row>
      <xdr:rowOff>0</xdr:rowOff>
    </xdr:to>
    <xdr:sp macro="" textlink="">
      <xdr:nvSpPr>
        <xdr:cNvPr id="10" name="TextBox 9">
          <a:extLst>
            <a:ext uri="{FF2B5EF4-FFF2-40B4-BE49-F238E27FC236}">
              <a16:creationId xmlns:a16="http://schemas.microsoft.com/office/drawing/2014/main" id="{1CAC1F89-584A-FEBF-10D8-0152539E43A1}"/>
            </a:ext>
          </a:extLst>
        </xdr:cNvPr>
        <xdr:cNvSpPr txBox="1"/>
      </xdr:nvSpPr>
      <xdr:spPr>
        <a:xfrm>
          <a:off x="2083000" y="0"/>
          <a:ext cx="3501628"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4">
                  <a:lumMod val="75000"/>
                </a:schemeClr>
              </a:solidFill>
              <a:latin typeface="Garamond" panose="02020404030301010803" pitchFamily="18" charset="0"/>
              <a:cs typeface="Arial" panose="020B0604020202020204" pitchFamily="34" charset="0"/>
            </a:rPr>
            <a:t>Customer</a:t>
          </a:r>
          <a:r>
            <a:rPr lang="en-US" sz="1800" b="1" baseline="0">
              <a:solidFill>
                <a:schemeClr val="accent4">
                  <a:lumMod val="75000"/>
                </a:schemeClr>
              </a:solidFill>
              <a:latin typeface="Garamond" panose="02020404030301010803" pitchFamily="18" charset="0"/>
              <a:cs typeface="Arial" panose="020B0604020202020204" pitchFamily="34" charset="0"/>
            </a:rPr>
            <a:t> Churn Status</a:t>
          </a:r>
          <a:endParaRPr lang="en-NG" sz="1800" b="1">
            <a:solidFill>
              <a:schemeClr val="accent4">
                <a:lumMod val="75000"/>
              </a:schemeClr>
            </a:solidFill>
            <a:latin typeface="Garamond" panose="02020404030301010803" pitchFamily="18" charset="0"/>
            <a:cs typeface="Arial" panose="020B0604020202020204" pitchFamily="34" charset="0"/>
          </a:endParaRPr>
        </a:p>
      </xdr:txBody>
    </xdr:sp>
    <xdr:clientData/>
  </xdr:twoCellAnchor>
  <xdr:twoCellAnchor>
    <xdr:from>
      <xdr:col>3</xdr:col>
      <xdr:colOff>193478</xdr:colOff>
      <xdr:row>18</xdr:row>
      <xdr:rowOff>36912</xdr:rowOff>
    </xdr:from>
    <xdr:to>
      <xdr:col>4</xdr:col>
      <xdr:colOff>253009</xdr:colOff>
      <xdr:row>20</xdr:row>
      <xdr:rowOff>0</xdr:rowOff>
    </xdr:to>
    <xdr:sp macro="" textlink="">
      <xdr:nvSpPr>
        <xdr:cNvPr id="11" name="TextBox 10">
          <a:extLst>
            <a:ext uri="{FF2B5EF4-FFF2-40B4-BE49-F238E27FC236}">
              <a16:creationId xmlns:a16="http://schemas.microsoft.com/office/drawing/2014/main" id="{939CC3BE-48FF-1663-0FAC-80BA99F44143}"/>
            </a:ext>
          </a:extLst>
        </xdr:cNvPr>
        <xdr:cNvSpPr txBox="1"/>
      </xdr:nvSpPr>
      <xdr:spPr>
        <a:xfrm>
          <a:off x="2024064" y="3043240"/>
          <a:ext cx="669726" cy="3500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G" sz="2000" b="0" i="0" u="none" strike="noStrike">
              <a:solidFill>
                <a:schemeClr val="tx1"/>
              </a:solidFill>
              <a:effectLst/>
              <a:latin typeface="Garamond" panose="02020404030301010803" pitchFamily="18" charset="0"/>
              <a:ea typeface="+mn-ea"/>
              <a:cs typeface="+mn-cs"/>
            </a:rPr>
            <a:t>284</a:t>
          </a:r>
          <a:r>
            <a:rPr lang="en-NG" sz="2000">
              <a:solidFill>
                <a:schemeClr val="accent4">
                  <a:lumMod val="75000"/>
                </a:schemeClr>
              </a:solidFill>
              <a:effectLst/>
              <a:latin typeface="Garamond" panose="02020404030301010803" pitchFamily="18" charset="0"/>
            </a:rPr>
            <a:t> </a:t>
          </a:r>
          <a:endParaRPr lang="en-NG" sz="2000" b="1">
            <a:solidFill>
              <a:schemeClr val="accent4">
                <a:lumMod val="75000"/>
              </a:schemeClr>
            </a:solidFill>
            <a:latin typeface="Garamond" panose="02020404030301010803" pitchFamily="18" charset="0"/>
            <a:cs typeface="Arial" panose="020B0604020202020204" pitchFamily="34" charset="0"/>
          </a:endParaRPr>
        </a:p>
      </xdr:txBody>
    </xdr:sp>
    <xdr:clientData/>
  </xdr:twoCellAnchor>
  <xdr:twoCellAnchor>
    <xdr:from>
      <xdr:col>3</xdr:col>
      <xdr:colOff>360758</xdr:colOff>
      <xdr:row>26</xdr:row>
      <xdr:rowOff>100012</xdr:rowOff>
    </xdr:from>
    <xdr:to>
      <xdr:col>4</xdr:col>
      <xdr:colOff>491132</xdr:colOff>
      <xdr:row>28</xdr:row>
      <xdr:rowOff>29764</xdr:rowOff>
    </xdr:to>
    <xdr:sp macro="" textlink="">
      <xdr:nvSpPr>
        <xdr:cNvPr id="15" name="TextBox 14">
          <a:extLst>
            <a:ext uri="{FF2B5EF4-FFF2-40B4-BE49-F238E27FC236}">
              <a16:creationId xmlns:a16="http://schemas.microsoft.com/office/drawing/2014/main" id="{3CA49622-5856-2C77-A56D-81D299CC3F8D}"/>
            </a:ext>
          </a:extLst>
        </xdr:cNvPr>
        <xdr:cNvSpPr txBox="1"/>
      </xdr:nvSpPr>
      <xdr:spPr>
        <a:xfrm>
          <a:off x="2191344" y="4654153"/>
          <a:ext cx="740569"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G" sz="2000" b="0" i="0" u="none" strike="noStrike">
              <a:solidFill>
                <a:schemeClr val="tx1"/>
              </a:solidFill>
              <a:effectLst/>
              <a:latin typeface="Garamond" panose="02020404030301010803" pitchFamily="18" charset="0"/>
              <a:ea typeface="+mn-ea"/>
              <a:cs typeface="+mn-cs"/>
            </a:rPr>
            <a:t>690</a:t>
          </a:r>
          <a:r>
            <a:rPr lang="en-NG" sz="2000">
              <a:solidFill>
                <a:schemeClr val="accent4">
                  <a:lumMod val="75000"/>
                </a:schemeClr>
              </a:solidFill>
              <a:effectLst/>
              <a:latin typeface="Garamond" panose="02020404030301010803" pitchFamily="18" charset="0"/>
            </a:rPr>
            <a:t> </a:t>
          </a:r>
          <a:endParaRPr lang="en-NG" sz="2000" b="1">
            <a:solidFill>
              <a:schemeClr val="accent4">
                <a:lumMod val="75000"/>
              </a:schemeClr>
            </a:solidFill>
            <a:latin typeface="Garamond" panose="02020404030301010803" pitchFamily="18" charset="0"/>
            <a:cs typeface="Arial" panose="020B0604020202020204" pitchFamily="34" charset="0"/>
          </a:endParaRPr>
        </a:p>
      </xdr:txBody>
    </xdr:sp>
    <xdr:clientData/>
  </xdr:twoCellAnchor>
  <xdr:twoCellAnchor>
    <xdr:from>
      <xdr:col>3</xdr:col>
      <xdr:colOff>18454</xdr:colOff>
      <xdr:row>16</xdr:row>
      <xdr:rowOff>129779</xdr:rowOff>
    </xdr:from>
    <xdr:to>
      <xdr:col>4</xdr:col>
      <xdr:colOff>524470</xdr:colOff>
      <xdr:row>18</xdr:row>
      <xdr:rowOff>63103</xdr:rowOff>
    </xdr:to>
    <xdr:sp macro="" textlink="">
      <xdr:nvSpPr>
        <xdr:cNvPr id="16" name="TextBox 15">
          <a:extLst>
            <a:ext uri="{FF2B5EF4-FFF2-40B4-BE49-F238E27FC236}">
              <a16:creationId xmlns:a16="http://schemas.microsoft.com/office/drawing/2014/main" id="{5EA6EFA9-B767-8B9D-BFA0-1EE533592E4F}"/>
            </a:ext>
          </a:extLst>
        </xdr:cNvPr>
        <xdr:cNvSpPr txBox="1"/>
      </xdr:nvSpPr>
      <xdr:spPr>
        <a:xfrm>
          <a:off x="1849040" y="2749154"/>
          <a:ext cx="1116211" cy="320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i="0" u="none" strike="noStrike">
              <a:solidFill>
                <a:schemeClr val="tx1"/>
              </a:solidFill>
              <a:effectLst/>
              <a:latin typeface="Garamond" panose="02020404030301010803" pitchFamily="18" charset="0"/>
              <a:ea typeface="+mn-ea"/>
              <a:cs typeface="+mn-cs"/>
            </a:rPr>
            <a:t>Chruned</a:t>
          </a:r>
          <a:r>
            <a:rPr lang="en-NG" sz="2000">
              <a:solidFill>
                <a:schemeClr val="accent4">
                  <a:lumMod val="75000"/>
                </a:schemeClr>
              </a:solidFill>
              <a:effectLst/>
              <a:latin typeface="Garamond" panose="02020404030301010803" pitchFamily="18" charset="0"/>
            </a:rPr>
            <a:t> </a:t>
          </a:r>
          <a:endParaRPr lang="en-NG" sz="2000" b="1">
            <a:solidFill>
              <a:schemeClr val="accent4">
                <a:lumMod val="75000"/>
              </a:schemeClr>
            </a:solidFill>
            <a:latin typeface="Garamond" panose="02020404030301010803" pitchFamily="18" charset="0"/>
            <a:cs typeface="Arial" panose="020B0604020202020204" pitchFamily="34" charset="0"/>
          </a:endParaRPr>
        </a:p>
      </xdr:txBody>
    </xdr:sp>
    <xdr:clientData/>
  </xdr:twoCellAnchor>
  <xdr:twoCellAnchor>
    <xdr:from>
      <xdr:col>3</xdr:col>
      <xdr:colOff>36909</xdr:colOff>
      <xdr:row>24</xdr:row>
      <xdr:rowOff>192881</xdr:rowOff>
    </xdr:from>
    <xdr:to>
      <xdr:col>5</xdr:col>
      <xdr:colOff>431601</xdr:colOff>
      <xdr:row>26</xdr:row>
      <xdr:rowOff>163711</xdr:rowOff>
    </xdr:to>
    <xdr:sp macro="" textlink="">
      <xdr:nvSpPr>
        <xdr:cNvPr id="17" name="TextBox 16">
          <a:extLst>
            <a:ext uri="{FF2B5EF4-FFF2-40B4-BE49-F238E27FC236}">
              <a16:creationId xmlns:a16="http://schemas.microsoft.com/office/drawing/2014/main" id="{1F87C3D4-FA2E-69CD-1F6E-62009D275472}"/>
            </a:ext>
          </a:extLst>
        </xdr:cNvPr>
        <xdr:cNvSpPr txBox="1"/>
      </xdr:nvSpPr>
      <xdr:spPr>
        <a:xfrm>
          <a:off x="1867495" y="4360069"/>
          <a:ext cx="1615083" cy="357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i="0" u="none" strike="noStrike">
              <a:solidFill>
                <a:schemeClr val="tx1"/>
              </a:solidFill>
              <a:effectLst/>
              <a:latin typeface="Garamond" panose="02020404030301010803" pitchFamily="18" charset="0"/>
              <a:ea typeface="+mn-ea"/>
              <a:cs typeface="+mn-cs"/>
            </a:rPr>
            <a:t>Not</a:t>
          </a:r>
          <a:r>
            <a:rPr lang="en-US" sz="2000" b="0" i="0" u="none" strike="noStrike">
              <a:solidFill>
                <a:schemeClr val="accent4">
                  <a:lumMod val="75000"/>
                </a:schemeClr>
              </a:solidFill>
              <a:effectLst/>
              <a:latin typeface="Garamond" panose="02020404030301010803" pitchFamily="18" charset="0"/>
              <a:ea typeface="+mn-ea"/>
              <a:cs typeface="+mn-cs"/>
            </a:rPr>
            <a:t> </a:t>
          </a:r>
          <a:r>
            <a:rPr lang="en-US" sz="2000" b="0" i="0" u="none" strike="noStrike">
              <a:solidFill>
                <a:schemeClr val="tx1"/>
              </a:solidFill>
              <a:effectLst/>
              <a:latin typeface="Garamond" panose="02020404030301010803" pitchFamily="18" charset="0"/>
              <a:ea typeface="+mn-ea"/>
              <a:cs typeface="+mn-cs"/>
            </a:rPr>
            <a:t>Chruned</a:t>
          </a:r>
          <a:r>
            <a:rPr lang="en-NG" sz="2000">
              <a:solidFill>
                <a:schemeClr val="accent4">
                  <a:lumMod val="75000"/>
                </a:schemeClr>
              </a:solidFill>
              <a:effectLst/>
              <a:latin typeface="Garamond" panose="02020404030301010803" pitchFamily="18" charset="0"/>
            </a:rPr>
            <a:t> </a:t>
          </a:r>
          <a:endParaRPr lang="en-NG" sz="2000" b="1">
            <a:solidFill>
              <a:schemeClr val="accent4">
                <a:lumMod val="75000"/>
              </a:schemeClr>
            </a:solidFill>
            <a:latin typeface="Garamond" panose="02020404030301010803" pitchFamily="18" charset="0"/>
            <a:cs typeface="Arial" panose="020B0604020202020204" pitchFamily="34" charset="0"/>
          </a:endParaRPr>
        </a:p>
      </xdr:txBody>
    </xdr:sp>
    <xdr:clientData/>
  </xdr:twoCellAnchor>
  <xdr:twoCellAnchor>
    <xdr:from>
      <xdr:col>8</xdr:col>
      <xdr:colOff>367904</xdr:colOff>
      <xdr:row>30</xdr:row>
      <xdr:rowOff>167283</xdr:rowOff>
    </xdr:from>
    <xdr:to>
      <xdr:col>14</xdr:col>
      <xdr:colOff>238125</xdr:colOff>
      <xdr:row>32</xdr:row>
      <xdr:rowOff>178593</xdr:rowOff>
    </xdr:to>
    <xdr:sp macro="" textlink="">
      <xdr:nvSpPr>
        <xdr:cNvPr id="19" name="TextBox 18">
          <a:extLst>
            <a:ext uri="{FF2B5EF4-FFF2-40B4-BE49-F238E27FC236}">
              <a16:creationId xmlns:a16="http://schemas.microsoft.com/office/drawing/2014/main" id="{960162F0-36EC-84B9-994F-F4B96435A021}"/>
            </a:ext>
          </a:extLst>
        </xdr:cNvPr>
        <xdr:cNvSpPr txBox="1"/>
      </xdr:nvSpPr>
      <xdr:spPr>
        <a:xfrm>
          <a:off x="5249467" y="5495330"/>
          <a:ext cx="3531392" cy="398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tx1"/>
              </a:solidFill>
              <a:latin typeface="Garamond" panose="02020404030301010803" pitchFamily="18" charset="0"/>
              <a:cs typeface="Arial" panose="020B0604020202020204" pitchFamily="34" charset="0"/>
            </a:rPr>
            <a:t>Revenue Generated</a:t>
          </a:r>
          <a:r>
            <a:rPr lang="en-US" sz="2000" b="0" baseline="0">
              <a:solidFill>
                <a:schemeClr val="tx1"/>
              </a:solidFill>
              <a:latin typeface="Garamond" panose="02020404030301010803" pitchFamily="18" charset="0"/>
              <a:cs typeface="Arial" panose="020B0604020202020204" pitchFamily="34" charset="0"/>
            </a:rPr>
            <a:t> By </a:t>
          </a:r>
          <a:r>
            <a:rPr lang="en-US" sz="2000" b="1" baseline="0">
              <a:solidFill>
                <a:schemeClr val="tx1"/>
              </a:solidFill>
              <a:latin typeface="Garamond" panose="02020404030301010803" pitchFamily="18" charset="0"/>
              <a:cs typeface="Arial" panose="020B0604020202020204" pitchFamily="34" charset="0"/>
            </a:rPr>
            <a:t>Product</a:t>
          </a:r>
          <a:endParaRPr lang="en-NG" sz="2000" b="1">
            <a:solidFill>
              <a:schemeClr val="tx1"/>
            </a:solidFill>
            <a:latin typeface="Garamond" panose="02020404030301010803" pitchFamily="18" charset="0"/>
            <a:cs typeface="Arial" panose="020B0604020202020204" pitchFamily="34" charset="0"/>
          </a:endParaRPr>
        </a:p>
      </xdr:txBody>
    </xdr:sp>
    <xdr:clientData/>
  </xdr:twoCellAnchor>
  <xdr:twoCellAnchor>
    <xdr:from>
      <xdr:col>8</xdr:col>
      <xdr:colOff>205946</xdr:colOff>
      <xdr:row>14</xdr:row>
      <xdr:rowOff>64357</xdr:rowOff>
    </xdr:from>
    <xdr:to>
      <xdr:col>10</xdr:col>
      <xdr:colOff>446484</xdr:colOff>
      <xdr:row>21</xdr:row>
      <xdr:rowOff>89296</xdr:rowOff>
    </xdr:to>
    <xdr:graphicFrame macro="">
      <xdr:nvGraphicFramePr>
        <xdr:cNvPr id="20" name="Chart 19">
          <a:extLst>
            <a:ext uri="{FF2B5EF4-FFF2-40B4-BE49-F238E27FC236}">
              <a16:creationId xmlns:a16="http://schemas.microsoft.com/office/drawing/2014/main" id="{64CF584E-3625-47B1-BC07-C4B0DD392B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594719</xdr:colOff>
      <xdr:row>16</xdr:row>
      <xdr:rowOff>126387</xdr:rowOff>
    </xdr:from>
    <xdr:to>
      <xdr:col>10</xdr:col>
      <xdr:colOff>77987</xdr:colOff>
      <xdr:row>18</xdr:row>
      <xdr:rowOff>122633</xdr:rowOff>
    </xdr:to>
    <xdr:sp macro="" textlink="">
      <xdr:nvSpPr>
        <xdr:cNvPr id="21" name="TextBox 20">
          <a:extLst>
            <a:ext uri="{FF2B5EF4-FFF2-40B4-BE49-F238E27FC236}">
              <a16:creationId xmlns:a16="http://schemas.microsoft.com/office/drawing/2014/main" id="{9361D458-FAF9-27A6-C5ED-509F4347FCED}"/>
            </a:ext>
          </a:extLst>
        </xdr:cNvPr>
        <xdr:cNvSpPr txBox="1"/>
      </xdr:nvSpPr>
      <xdr:spPr>
        <a:xfrm>
          <a:off x="5476282" y="2745762"/>
          <a:ext cx="703658" cy="383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G" sz="2000" b="0" i="0" u="none" strike="noStrike">
              <a:solidFill>
                <a:schemeClr val="accent4">
                  <a:lumMod val="75000"/>
                </a:schemeClr>
              </a:solidFill>
              <a:effectLst/>
              <a:latin typeface="Garamond" panose="02020404030301010803" pitchFamily="18" charset="0"/>
              <a:ea typeface="+mn-ea"/>
              <a:cs typeface="+mn-cs"/>
            </a:rPr>
            <a:t>32%</a:t>
          </a:r>
          <a:r>
            <a:rPr lang="en-NG" sz="2000">
              <a:solidFill>
                <a:schemeClr val="accent4">
                  <a:lumMod val="75000"/>
                </a:schemeClr>
              </a:solidFill>
              <a:effectLst/>
              <a:latin typeface="Garamond" panose="02020404030301010803" pitchFamily="18" charset="0"/>
            </a:rPr>
            <a:t>  </a:t>
          </a:r>
          <a:endParaRPr lang="en-NG" sz="2000" b="1">
            <a:solidFill>
              <a:schemeClr val="accent4">
                <a:lumMod val="75000"/>
              </a:schemeClr>
            </a:solidFill>
            <a:latin typeface="Garamond" panose="02020404030301010803" pitchFamily="18" charset="0"/>
            <a:cs typeface="Arial" panose="020B0604020202020204" pitchFamily="34" charset="0"/>
          </a:endParaRPr>
        </a:p>
      </xdr:txBody>
    </xdr:sp>
    <xdr:clientData/>
  </xdr:twoCellAnchor>
  <xdr:twoCellAnchor>
    <xdr:from>
      <xdr:col>8</xdr:col>
      <xdr:colOff>104183</xdr:colOff>
      <xdr:row>22</xdr:row>
      <xdr:rowOff>1</xdr:rowOff>
    </xdr:from>
    <xdr:to>
      <xdr:col>10</xdr:col>
      <xdr:colOff>431793</xdr:colOff>
      <xdr:row>29</xdr:row>
      <xdr:rowOff>13665</xdr:rowOff>
    </xdr:to>
    <xdr:graphicFrame macro="">
      <xdr:nvGraphicFramePr>
        <xdr:cNvPr id="22" name="Chart 21">
          <a:extLst>
            <a:ext uri="{FF2B5EF4-FFF2-40B4-BE49-F238E27FC236}">
              <a16:creationId xmlns:a16="http://schemas.microsoft.com/office/drawing/2014/main" id="{7F78E300-302C-4E15-93FF-ADD57822E4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583408</xdr:colOff>
      <xdr:row>25</xdr:row>
      <xdr:rowOff>10896</xdr:rowOff>
    </xdr:from>
    <xdr:to>
      <xdr:col>10</xdr:col>
      <xdr:colOff>66676</xdr:colOff>
      <xdr:row>27</xdr:row>
      <xdr:rowOff>7142</xdr:rowOff>
    </xdr:to>
    <xdr:sp macro="" textlink="">
      <xdr:nvSpPr>
        <xdr:cNvPr id="32" name="TextBox 31">
          <a:extLst>
            <a:ext uri="{FF2B5EF4-FFF2-40B4-BE49-F238E27FC236}">
              <a16:creationId xmlns:a16="http://schemas.microsoft.com/office/drawing/2014/main" id="{332A700F-345D-0413-DD88-4A88369629A2}"/>
            </a:ext>
          </a:extLst>
        </xdr:cNvPr>
        <xdr:cNvSpPr txBox="1"/>
      </xdr:nvSpPr>
      <xdr:spPr>
        <a:xfrm>
          <a:off x="5464971" y="4371560"/>
          <a:ext cx="703658" cy="383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i="0" u="none" strike="noStrike">
              <a:solidFill>
                <a:schemeClr val="accent4">
                  <a:lumMod val="75000"/>
                </a:schemeClr>
              </a:solidFill>
              <a:effectLst/>
              <a:latin typeface="Garamond" panose="02020404030301010803" pitchFamily="18" charset="0"/>
              <a:ea typeface="+mn-ea"/>
              <a:cs typeface="+mn-cs"/>
            </a:rPr>
            <a:t>68%</a:t>
          </a:r>
          <a:r>
            <a:rPr lang="en-NG" sz="2000">
              <a:solidFill>
                <a:schemeClr val="accent4">
                  <a:lumMod val="75000"/>
                </a:schemeClr>
              </a:solidFill>
              <a:effectLst/>
              <a:latin typeface="Garamond" panose="02020404030301010803" pitchFamily="18" charset="0"/>
            </a:rPr>
            <a:t>  </a:t>
          </a:r>
          <a:endParaRPr lang="en-NG" sz="2000" b="1">
            <a:solidFill>
              <a:schemeClr val="accent4">
                <a:lumMod val="75000"/>
              </a:schemeClr>
            </a:solidFill>
            <a:latin typeface="Garamond" panose="02020404030301010803" pitchFamily="18" charset="0"/>
            <a:cs typeface="Arial" panose="020B0604020202020204" pitchFamily="34" charset="0"/>
          </a:endParaRPr>
        </a:p>
      </xdr:txBody>
    </xdr:sp>
    <xdr:clientData/>
  </xdr:twoCellAnchor>
  <xdr:twoCellAnchor>
    <xdr:from>
      <xdr:col>10</xdr:col>
      <xdr:colOff>226219</xdr:colOff>
      <xdr:row>16</xdr:row>
      <xdr:rowOff>40663</xdr:rowOff>
    </xdr:from>
    <xdr:to>
      <xdr:col>14</xdr:col>
      <xdr:colOff>312539</xdr:colOff>
      <xdr:row>18</xdr:row>
      <xdr:rowOff>36909</xdr:rowOff>
    </xdr:to>
    <xdr:sp macro="" textlink="">
      <xdr:nvSpPr>
        <xdr:cNvPr id="33" name="TextBox 32">
          <a:extLst>
            <a:ext uri="{FF2B5EF4-FFF2-40B4-BE49-F238E27FC236}">
              <a16:creationId xmlns:a16="http://schemas.microsoft.com/office/drawing/2014/main" id="{89CC74F2-078F-AD07-EF36-03FA9EF5DF78}"/>
            </a:ext>
          </a:extLst>
        </xdr:cNvPr>
        <xdr:cNvSpPr txBox="1"/>
      </xdr:nvSpPr>
      <xdr:spPr>
        <a:xfrm>
          <a:off x="6328172" y="2660038"/>
          <a:ext cx="2527101" cy="383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i="0" u="none" strike="noStrike">
              <a:solidFill>
                <a:schemeClr val="tx1"/>
              </a:solidFill>
              <a:effectLst/>
              <a:latin typeface="Garamond" panose="02020404030301010803" pitchFamily="18" charset="0"/>
              <a:ea typeface="+mn-ea"/>
              <a:cs typeface="+mn-cs"/>
            </a:rPr>
            <a:t>Revenue</a:t>
          </a:r>
          <a:r>
            <a:rPr lang="en-US" sz="2000" b="0" i="0" u="none" strike="noStrike" baseline="0">
              <a:solidFill>
                <a:schemeClr val="tx1"/>
              </a:solidFill>
              <a:effectLst/>
              <a:latin typeface="Garamond" panose="02020404030301010803" pitchFamily="18" charset="0"/>
              <a:ea typeface="+mn-ea"/>
              <a:cs typeface="+mn-cs"/>
            </a:rPr>
            <a:t> By </a:t>
          </a:r>
          <a:r>
            <a:rPr lang="en-US" sz="2000" b="1" i="0" u="none" strike="noStrike">
              <a:solidFill>
                <a:schemeClr val="tx1"/>
              </a:solidFill>
              <a:effectLst/>
              <a:latin typeface="Garamond" panose="02020404030301010803" pitchFamily="18" charset="0"/>
              <a:ea typeface="+mn-ea"/>
              <a:cs typeface="+mn-cs"/>
            </a:rPr>
            <a:t>Weekdays</a:t>
          </a:r>
          <a:r>
            <a:rPr lang="en-NG" sz="2000">
              <a:solidFill>
                <a:schemeClr val="tx1"/>
              </a:solidFill>
              <a:effectLst/>
              <a:latin typeface="Garamond" panose="02020404030301010803" pitchFamily="18" charset="0"/>
            </a:rPr>
            <a:t> </a:t>
          </a:r>
          <a:endParaRPr lang="en-NG" sz="2000" b="1">
            <a:solidFill>
              <a:schemeClr val="tx1"/>
            </a:solidFill>
            <a:latin typeface="Garamond" panose="02020404030301010803" pitchFamily="18" charset="0"/>
            <a:cs typeface="Arial" panose="020B0604020202020204" pitchFamily="34" charset="0"/>
          </a:endParaRPr>
        </a:p>
      </xdr:txBody>
    </xdr:sp>
    <xdr:clientData/>
  </xdr:twoCellAnchor>
  <xdr:twoCellAnchor>
    <xdr:from>
      <xdr:col>10</xdr:col>
      <xdr:colOff>572096</xdr:colOff>
      <xdr:row>17</xdr:row>
      <xdr:rowOff>178179</xdr:rowOff>
    </xdr:from>
    <xdr:to>
      <xdr:col>13</xdr:col>
      <xdr:colOff>312538</xdr:colOff>
      <xdr:row>19</xdr:row>
      <xdr:rowOff>174425</xdr:rowOff>
    </xdr:to>
    <xdr:sp macro="" textlink="">
      <xdr:nvSpPr>
        <xdr:cNvPr id="34" name="TextBox 33">
          <a:extLst>
            <a:ext uri="{FF2B5EF4-FFF2-40B4-BE49-F238E27FC236}">
              <a16:creationId xmlns:a16="http://schemas.microsoft.com/office/drawing/2014/main" id="{84262CDB-9B37-2CAE-CB61-9753CB26E0BE}"/>
            </a:ext>
          </a:extLst>
        </xdr:cNvPr>
        <xdr:cNvSpPr txBox="1"/>
      </xdr:nvSpPr>
      <xdr:spPr>
        <a:xfrm>
          <a:off x="6674049" y="2991031"/>
          <a:ext cx="1571028" cy="383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G" sz="1800" b="1" i="0" u="none" strike="noStrike">
              <a:solidFill>
                <a:schemeClr val="tx1"/>
              </a:solidFill>
              <a:effectLst/>
              <a:latin typeface="Garamond" panose="02020404030301010803" pitchFamily="18" charset="0"/>
              <a:ea typeface="+mn-ea"/>
              <a:cs typeface="+mn-cs"/>
            </a:rPr>
            <a:t>$63,366,500</a:t>
          </a:r>
          <a:r>
            <a:rPr lang="en-NG" sz="1800" b="1">
              <a:solidFill>
                <a:schemeClr val="tx1"/>
              </a:solidFill>
              <a:effectLst/>
              <a:latin typeface="Garamond" panose="02020404030301010803" pitchFamily="18" charset="0"/>
            </a:rPr>
            <a:t>   </a:t>
          </a:r>
          <a:endParaRPr lang="en-NG" sz="1800" b="1">
            <a:solidFill>
              <a:schemeClr val="tx1"/>
            </a:solidFill>
            <a:latin typeface="Garamond" panose="02020404030301010803" pitchFamily="18" charset="0"/>
            <a:cs typeface="Arial" panose="020B0604020202020204" pitchFamily="34" charset="0"/>
          </a:endParaRPr>
        </a:p>
      </xdr:txBody>
    </xdr:sp>
    <xdr:clientData/>
  </xdr:twoCellAnchor>
  <xdr:twoCellAnchor>
    <xdr:from>
      <xdr:col>10</xdr:col>
      <xdr:colOff>274440</xdr:colOff>
      <xdr:row>24</xdr:row>
      <xdr:rowOff>103765</xdr:rowOff>
    </xdr:from>
    <xdr:to>
      <xdr:col>15</xdr:col>
      <xdr:colOff>253006</xdr:colOff>
      <xdr:row>26</xdr:row>
      <xdr:rowOff>100011</xdr:rowOff>
    </xdr:to>
    <xdr:sp macro="" textlink="">
      <xdr:nvSpPr>
        <xdr:cNvPr id="35" name="TextBox 34">
          <a:extLst>
            <a:ext uri="{FF2B5EF4-FFF2-40B4-BE49-F238E27FC236}">
              <a16:creationId xmlns:a16="http://schemas.microsoft.com/office/drawing/2014/main" id="{004324B4-619B-5AAE-5223-9107A301564C}"/>
            </a:ext>
          </a:extLst>
        </xdr:cNvPr>
        <xdr:cNvSpPr txBox="1"/>
      </xdr:nvSpPr>
      <xdr:spPr>
        <a:xfrm>
          <a:off x="6376393" y="4270953"/>
          <a:ext cx="2880715" cy="383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i="0" u="none" strike="noStrike">
              <a:solidFill>
                <a:schemeClr val="tx1"/>
              </a:solidFill>
              <a:effectLst/>
              <a:latin typeface="Garamond" panose="02020404030301010803" pitchFamily="18" charset="0"/>
              <a:ea typeface="+mn-ea"/>
              <a:cs typeface="+mn-cs"/>
            </a:rPr>
            <a:t>Revenue</a:t>
          </a:r>
          <a:r>
            <a:rPr lang="en-US" sz="2000" b="0" i="0" u="none" strike="noStrike" baseline="0">
              <a:solidFill>
                <a:schemeClr val="tx1"/>
              </a:solidFill>
              <a:effectLst/>
              <a:latin typeface="Garamond" panose="02020404030301010803" pitchFamily="18" charset="0"/>
              <a:ea typeface="+mn-ea"/>
              <a:cs typeface="+mn-cs"/>
            </a:rPr>
            <a:t> By </a:t>
          </a:r>
          <a:r>
            <a:rPr lang="en-US" sz="2000" b="1" i="0" u="none" strike="noStrike">
              <a:solidFill>
                <a:schemeClr val="tx1"/>
              </a:solidFill>
              <a:effectLst/>
              <a:latin typeface="Garamond" panose="02020404030301010803" pitchFamily="18" charset="0"/>
              <a:ea typeface="+mn-ea"/>
              <a:cs typeface="+mn-cs"/>
            </a:rPr>
            <a:t>Weekends</a:t>
          </a:r>
          <a:r>
            <a:rPr lang="en-NG" sz="2000">
              <a:solidFill>
                <a:schemeClr val="tx1"/>
              </a:solidFill>
              <a:effectLst/>
              <a:latin typeface="Garamond" panose="02020404030301010803" pitchFamily="18" charset="0"/>
            </a:rPr>
            <a:t> </a:t>
          </a:r>
          <a:endParaRPr lang="en-NG" sz="2000" b="1">
            <a:solidFill>
              <a:schemeClr val="tx1"/>
            </a:solidFill>
            <a:latin typeface="Garamond" panose="02020404030301010803" pitchFamily="18" charset="0"/>
            <a:cs typeface="Arial" panose="020B0604020202020204" pitchFamily="34" charset="0"/>
          </a:endParaRPr>
        </a:p>
      </xdr:txBody>
    </xdr:sp>
    <xdr:clientData/>
  </xdr:twoCellAnchor>
  <xdr:twoCellAnchor>
    <xdr:from>
      <xdr:col>11</xdr:col>
      <xdr:colOff>158951</xdr:colOff>
      <xdr:row>26</xdr:row>
      <xdr:rowOff>107336</xdr:rowOff>
    </xdr:from>
    <xdr:to>
      <xdr:col>13</xdr:col>
      <xdr:colOff>509588</xdr:colOff>
      <xdr:row>28</xdr:row>
      <xdr:rowOff>103582</xdr:rowOff>
    </xdr:to>
    <xdr:sp macro="" textlink="">
      <xdr:nvSpPr>
        <xdr:cNvPr id="36" name="TextBox 35">
          <a:extLst>
            <a:ext uri="{FF2B5EF4-FFF2-40B4-BE49-F238E27FC236}">
              <a16:creationId xmlns:a16="http://schemas.microsoft.com/office/drawing/2014/main" id="{29F4F51F-9697-09D4-006C-117607FD9C62}"/>
            </a:ext>
          </a:extLst>
        </xdr:cNvPr>
        <xdr:cNvSpPr txBox="1"/>
      </xdr:nvSpPr>
      <xdr:spPr>
        <a:xfrm>
          <a:off x="6871099" y="4661477"/>
          <a:ext cx="1571028" cy="383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G" sz="1800" b="1" i="0" u="none" strike="noStrike">
              <a:solidFill>
                <a:schemeClr val="tx1"/>
              </a:solidFill>
              <a:effectLst/>
              <a:latin typeface="Garamond" panose="02020404030301010803" pitchFamily="18" charset="0"/>
              <a:ea typeface="+mn-ea"/>
              <a:cs typeface="+mn-cs"/>
            </a:rPr>
            <a:t>$135,981,700</a:t>
          </a:r>
          <a:r>
            <a:rPr lang="en-NG" sz="1800" b="1">
              <a:solidFill>
                <a:schemeClr val="tx1"/>
              </a:solidFill>
              <a:effectLst/>
              <a:latin typeface="Garamond" panose="02020404030301010803" pitchFamily="18" charset="0"/>
            </a:rPr>
            <a:t>    </a:t>
          </a:r>
          <a:endParaRPr lang="en-NG" sz="1800" b="1">
            <a:solidFill>
              <a:schemeClr val="tx1"/>
            </a:solidFill>
            <a:latin typeface="Garamond" panose="02020404030301010803" pitchFamily="18" charset="0"/>
            <a:cs typeface="Arial" panose="020B0604020202020204"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17</xdr:col>
          <xdr:colOff>600075</xdr:colOff>
          <xdr:row>14</xdr:row>
          <xdr:rowOff>152400</xdr:rowOff>
        </xdr:from>
        <xdr:to>
          <xdr:col>18</xdr:col>
          <xdr:colOff>361950</xdr:colOff>
          <xdr:row>16</xdr:row>
          <xdr:rowOff>133350</xdr:rowOff>
        </xdr:to>
        <xdr:sp macro="" textlink="">
          <xdr:nvSpPr>
            <xdr:cNvPr id="1036" name="Option Button 12"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16</xdr:col>
      <xdr:colOff>170261</xdr:colOff>
      <xdr:row>14</xdr:row>
      <xdr:rowOff>118648</xdr:rowOff>
    </xdr:from>
    <xdr:to>
      <xdr:col>17</xdr:col>
      <xdr:colOff>580431</xdr:colOff>
      <xdr:row>16</xdr:row>
      <xdr:rowOff>163711</xdr:rowOff>
    </xdr:to>
    <xdr:sp macro="" textlink="">
      <xdr:nvSpPr>
        <xdr:cNvPr id="45" name="TextBox 44">
          <a:extLst>
            <a:ext uri="{FF2B5EF4-FFF2-40B4-BE49-F238E27FC236}">
              <a16:creationId xmlns:a16="http://schemas.microsoft.com/office/drawing/2014/main" id="{8D94E865-F53B-6DE8-A680-EE5D4451FFAB}"/>
            </a:ext>
          </a:extLst>
        </xdr:cNvPr>
        <xdr:cNvSpPr txBox="1"/>
      </xdr:nvSpPr>
      <xdr:spPr>
        <a:xfrm>
          <a:off x="9501784" y="2351070"/>
          <a:ext cx="692944" cy="4320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0" i="0" u="none" strike="noStrike">
              <a:solidFill>
                <a:schemeClr val="tx1"/>
              </a:solidFill>
              <a:effectLst/>
              <a:latin typeface="Garamond" panose="02020404030301010803" pitchFamily="18" charset="0"/>
              <a:ea typeface="+mn-ea"/>
              <a:cs typeface="+mn-cs"/>
            </a:rPr>
            <a:t>Top</a:t>
          </a:r>
          <a:endParaRPr lang="en-NG" sz="2000" b="1">
            <a:solidFill>
              <a:schemeClr val="tx1"/>
            </a:solidFill>
            <a:latin typeface="Garamond" panose="02020404030301010803" pitchFamily="18" charset="0"/>
            <a:cs typeface="Arial" panose="020B0604020202020204" pitchFamily="34" charset="0"/>
          </a:endParaRPr>
        </a:p>
      </xdr:txBody>
    </xdr:sp>
    <xdr:clientData/>
  </xdr:twoCellAnchor>
  <xdr:twoCellAnchor>
    <xdr:from>
      <xdr:col>19</xdr:col>
      <xdr:colOff>122904</xdr:colOff>
      <xdr:row>14</xdr:row>
      <xdr:rowOff>92454</xdr:rowOff>
    </xdr:from>
    <xdr:to>
      <xdr:col>22</xdr:col>
      <xdr:colOff>238125</xdr:colOff>
      <xdr:row>16</xdr:row>
      <xdr:rowOff>107541</xdr:rowOff>
    </xdr:to>
    <xdr:sp macro="" textlink="">
      <xdr:nvSpPr>
        <xdr:cNvPr id="46" name="TextBox 45">
          <a:extLst>
            <a:ext uri="{FF2B5EF4-FFF2-40B4-BE49-F238E27FC236}">
              <a16:creationId xmlns:a16="http://schemas.microsoft.com/office/drawing/2014/main" id="{9225DB5D-1348-9251-FC83-628DED90A50D}"/>
            </a:ext>
          </a:extLst>
        </xdr:cNvPr>
        <xdr:cNvSpPr txBox="1"/>
      </xdr:nvSpPr>
      <xdr:spPr>
        <a:xfrm>
          <a:off x="11015202" y="2227898"/>
          <a:ext cx="1958770" cy="3837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0" i="0" u="none" strike="noStrike">
              <a:solidFill>
                <a:schemeClr val="tx1"/>
              </a:solidFill>
              <a:effectLst/>
              <a:latin typeface="Garamond" panose="02020404030301010803" pitchFamily="18" charset="0"/>
              <a:ea typeface="+mn-ea"/>
              <a:cs typeface="+mn-cs"/>
            </a:rPr>
            <a:t>Underperforming</a:t>
          </a:r>
          <a:endParaRPr lang="en-NG" sz="2000" b="1">
            <a:solidFill>
              <a:schemeClr val="tx1"/>
            </a:solidFill>
            <a:latin typeface="Garamond" panose="02020404030301010803" pitchFamily="18" charset="0"/>
            <a:cs typeface="Arial" panose="020B0604020202020204"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22</xdr:col>
          <xdr:colOff>266700</xdr:colOff>
          <xdr:row>14</xdr:row>
          <xdr:rowOff>114300</xdr:rowOff>
        </xdr:from>
        <xdr:to>
          <xdr:col>23</xdr:col>
          <xdr:colOff>19050</xdr:colOff>
          <xdr:row>16</xdr:row>
          <xdr:rowOff>95250</xdr:rowOff>
        </xdr:to>
        <xdr:sp macro="" textlink="">
          <xdr:nvSpPr>
            <xdr:cNvPr id="1037" name="Option Button 13"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17</xdr:col>
      <xdr:colOff>177999</xdr:colOff>
      <xdr:row>17</xdr:row>
      <xdr:rowOff>81558</xdr:rowOff>
    </xdr:from>
    <xdr:to>
      <xdr:col>22</xdr:col>
      <xdr:colOff>152401</xdr:colOff>
      <xdr:row>19</xdr:row>
      <xdr:rowOff>92868</xdr:rowOff>
    </xdr:to>
    <xdr:sp macro="" textlink="Dashboard!$R$11">
      <xdr:nvSpPr>
        <xdr:cNvPr id="37" name="TextBox 36">
          <a:extLst>
            <a:ext uri="{FF2B5EF4-FFF2-40B4-BE49-F238E27FC236}">
              <a16:creationId xmlns:a16="http://schemas.microsoft.com/office/drawing/2014/main" id="{CF295956-D634-9641-8BD1-7EB6CB8F10E4}"/>
            </a:ext>
          </a:extLst>
        </xdr:cNvPr>
        <xdr:cNvSpPr txBox="1"/>
      </xdr:nvSpPr>
      <xdr:spPr>
        <a:xfrm>
          <a:off x="9792296" y="2894410"/>
          <a:ext cx="3025378" cy="398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2961C1A-BCC0-44B1-9841-2B9857EC3778}" type="TxLink">
            <a:rPr lang="en-US" sz="1100" b="0" i="0" u="none" strike="noStrike">
              <a:solidFill>
                <a:srgbClr val="000000"/>
              </a:solidFill>
              <a:latin typeface="Calibri"/>
              <a:cs typeface="Calibri"/>
            </a:rPr>
            <a:pPr/>
            <a:t> </a:t>
          </a:fld>
          <a:endParaRPr lang="en-US"/>
        </a:p>
      </xdr:txBody>
    </xdr:sp>
    <xdr:clientData/>
  </xdr:twoCellAnchor>
  <xdr:twoCellAnchor>
    <xdr:from>
      <xdr:col>15</xdr:col>
      <xdr:colOff>29765</xdr:colOff>
      <xdr:row>18</xdr:row>
      <xdr:rowOff>155971</xdr:rowOff>
    </xdr:from>
    <xdr:to>
      <xdr:col>23</xdr:col>
      <xdr:colOff>535782</xdr:colOff>
      <xdr:row>22</xdr:row>
      <xdr:rowOff>119062</xdr:rowOff>
    </xdr:to>
    <xdr:sp macro="" textlink="Analysis!J5">
      <xdr:nvSpPr>
        <xdr:cNvPr id="42" name="TextBox 41">
          <a:extLst>
            <a:ext uri="{FF2B5EF4-FFF2-40B4-BE49-F238E27FC236}">
              <a16:creationId xmlns:a16="http://schemas.microsoft.com/office/drawing/2014/main" id="{E0A8EF72-A4E2-D750-EF3F-6FFEA6FD1D21}"/>
            </a:ext>
          </a:extLst>
        </xdr:cNvPr>
        <xdr:cNvSpPr txBox="1"/>
      </xdr:nvSpPr>
      <xdr:spPr>
        <a:xfrm>
          <a:off x="9033867" y="3162299"/>
          <a:ext cx="4777384" cy="7369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F0BBE3D-CEB6-469C-8B47-91D1EB2BC8A2}" type="TxLink">
            <a:rPr lang="en-US" sz="2000" b="1" i="0" u="none" strike="noStrike">
              <a:solidFill>
                <a:srgbClr val="000000"/>
              </a:solidFill>
              <a:latin typeface="Garamond" panose="02020404030301010803" pitchFamily="18" charset="0"/>
              <a:cs typeface="Calibri"/>
            </a:rPr>
            <a:pPr/>
            <a:t>Top 10  Subcription plan By Revenue</a:t>
          </a:fld>
          <a:br>
            <a:rPr lang="en-US" sz="2000" b="1" i="0" u="none" strike="noStrike">
              <a:solidFill>
                <a:srgbClr val="000000"/>
              </a:solidFill>
              <a:latin typeface="Garamond" panose="02020404030301010803" pitchFamily="18" charset="0"/>
              <a:cs typeface="Calibri"/>
            </a:rPr>
          </a:br>
          <a:endParaRPr lang="en-NG" sz="2000" b="1">
            <a:solidFill>
              <a:schemeClr val="tx1"/>
            </a:solidFill>
            <a:latin typeface="Garamond" panose="02020404030301010803" pitchFamily="18" charset="0"/>
            <a:cs typeface="Arial" panose="020B0604020202020204" pitchFamily="34" charset="0"/>
          </a:endParaRPr>
        </a:p>
      </xdr:txBody>
    </xdr:sp>
    <xdr:clientData/>
  </xdr:twoCellAnchor>
  <xdr:twoCellAnchor>
    <xdr:from>
      <xdr:col>15</xdr:col>
      <xdr:colOff>267891</xdr:colOff>
      <xdr:row>23</xdr:row>
      <xdr:rowOff>44649</xdr:rowOff>
    </xdr:from>
    <xdr:to>
      <xdr:col>23</xdr:col>
      <xdr:colOff>208360</xdr:colOff>
      <xdr:row>48</xdr:row>
      <xdr:rowOff>74414</xdr:rowOff>
    </xdr:to>
    <xdr:graphicFrame macro="">
      <xdr:nvGraphicFramePr>
        <xdr:cNvPr id="43" name="Chart 42">
          <a:extLst>
            <a:ext uri="{FF2B5EF4-FFF2-40B4-BE49-F238E27FC236}">
              <a16:creationId xmlns:a16="http://schemas.microsoft.com/office/drawing/2014/main" id="{BFCEBCDA-E9F3-4552-AD80-C995E3A289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163709</xdr:colOff>
      <xdr:row>33</xdr:row>
      <xdr:rowOff>148828</xdr:rowOff>
    </xdr:from>
    <xdr:to>
      <xdr:col>14</xdr:col>
      <xdr:colOff>119063</xdr:colOff>
      <xdr:row>49</xdr:row>
      <xdr:rowOff>0</xdr:rowOff>
    </xdr:to>
    <xdr:graphicFrame macro="">
      <xdr:nvGraphicFramePr>
        <xdr:cNvPr id="44" name="Chart 43">
          <a:extLst>
            <a:ext uri="{FF2B5EF4-FFF2-40B4-BE49-F238E27FC236}">
              <a16:creationId xmlns:a16="http://schemas.microsoft.com/office/drawing/2014/main" id="{80F7E044-5B4C-4CF5-ABE2-E57DA66829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24</xdr:col>
      <xdr:colOff>282774</xdr:colOff>
      <xdr:row>39</xdr:row>
      <xdr:rowOff>0</xdr:rowOff>
    </xdr:from>
    <xdr:to>
      <xdr:col>30</xdr:col>
      <xdr:colOff>386953</xdr:colOff>
      <xdr:row>48</xdr:row>
      <xdr:rowOff>89297</xdr:rowOff>
    </xdr:to>
    <xdr:graphicFrame macro="">
      <xdr:nvGraphicFramePr>
        <xdr:cNvPr id="48" name="Chart 47">
          <a:extLst>
            <a:ext uri="{FF2B5EF4-FFF2-40B4-BE49-F238E27FC236}">
              <a16:creationId xmlns:a16="http://schemas.microsoft.com/office/drawing/2014/main" id="{DD2B643C-680D-43F1-AEA3-83F2EB0491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24</xdr:col>
      <xdr:colOff>208359</xdr:colOff>
      <xdr:row>36</xdr:row>
      <xdr:rowOff>126207</xdr:rowOff>
    </xdr:from>
    <xdr:to>
      <xdr:col>31</xdr:col>
      <xdr:colOff>14882</xdr:colOff>
      <xdr:row>38</xdr:row>
      <xdr:rowOff>137517</xdr:rowOff>
    </xdr:to>
    <xdr:sp macro="" textlink="">
      <xdr:nvSpPr>
        <xdr:cNvPr id="49" name="TextBox 48">
          <a:extLst>
            <a:ext uri="{FF2B5EF4-FFF2-40B4-BE49-F238E27FC236}">
              <a16:creationId xmlns:a16="http://schemas.microsoft.com/office/drawing/2014/main" id="{2FAAF30F-0541-EC78-7E81-4D327BFFA16C}"/>
            </a:ext>
          </a:extLst>
        </xdr:cNvPr>
        <xdr:cNvSpPr txBox="1"/>
      </xdr:nvSpPr>
      <xdr:spPr>
        <a:xfrm>
          <a:off x="14094023" y="6615113"/>
          <a:ext cx="4077890" cy="398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tx1"/>
              </a:solidFill>
              <a:latin typeface="Garamond" panose="02020404030301010803" pitchFamily="18" charset="0"/>
              <a:cs typeface="Arial" panose="020B0604020202020204" pitchFamily="34" charset="0"/>
            </a:rPr>
            <a:t>Revenue Breakdown</a:t>
          </a:r>
          <a:r>
            <a:rPr lang="en-US" sz="2000" b="0" baseline="0">
              <a:solidFill>
                <a:schemeClr val="tx1"/>
              </a:solidFill>
              <a:latin typeface="Garamond" panose="02020404030301010803" pitchFamily="18" charset="0"/>
              <a:cs typeface="Arial" panose="020B0604020202020204" pitchFamily="34" charset="0"/>
            </a:rPr>
            <a:t> By </a:t>
          </a:r>
          <a:r>
            <a:rPr lang="en-US" sz="2000" b="1" baseline="0">
              <a:solidFill>
                <a:schemeClr val="tx1"/>
              </a:solidFill>
              <a:latin typeface="Garamond" panose="02020404030301010803" pitchFamily="18" charset="0"/>
              <a:cs typeface="Arial" panose="020B0604020202020204" pitchFamily="34" charset="0"/>
            </a:rPr>
            <a:t>Age Segment</a:t>
          </a:r>
          <a:endParaRPr lang="en-NG" sz="2000" b="1">
            <a:solidFill>
              <a:schemeClr val="tx1"/>
            </a:solidFill>
            <a:latin typeface="Garamond" panose="02020404030301010803" pitchFamily="18" charset="0"/>
            <a:cs typeface="Arial" panose="020B0604020202020204" pitchFamily="34" charset="0"/>
          </a:endParaRPr>
        </a:p>
      </xdr:txBody>
    </xdr:sp>
    <xdr:clientData/>
  </xdr:twoCellAnchor>
  <xdr:twoCellAnchor>
    <xdr:from>
      <xdr:col>24</xdr:col>
      <xdr:colOff>372069</xdr:colOff>
      <xdr:row>27</xdr:row>
      <xdr:rowOff>148828</xdr:rowOff>
    </xdr:from>
    <xdr:to>
      <xdr:col>30</xdr:col>
      <xdr:colOff>386953</xdr:colOff>
      <xdr:row>36</xdr:row>
      <xdr:rowOff>74413</xdr:rowOff>
    </xdr:to>
    <xdr:graphicFrame macro="">
      <xdr:nvGraphicFramePr>
        <xdr:cNvPr id="50" name="Chart 49">
          <a:extLst>
            <a:ext uri="{FF2B5EF4-FFF2-40B4-BE49-F238E27FC236}">
              <a16:creationId xmlns:a16="http://schemas.microsoft.com/office/drawing/2014/main" id="{F7DCBC7A-4DF9-46C8-A594-218AC7588B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24</xdr:col>
      <xdr:colOff>372071</xdr:colOff>
      <xdr:row>25</xdr:row>
      <xdr:rowOff>159543</xdr:rowOff>
    </xdr:from>
    <xdr:to>
      <xdr:col>30</xdr:col>
      <xdr:colOff>416719</xdr:colOff>
      <xdr:row>27</xdr:row>
      <xdr:rowOff>170853</xdr:rowOff>
    </xdr:to>
    <xdr:sp macro="" textlink="">
      <xdr:nvSpPr>
        <xdr:cNvPr id="51" name="TextBox 50">
          <a:extLst>
            <a:ext uri="{FF2B5EF4-FFF2-40B4-BE49-F238E27FC236}">
              <a16:creationId xmlns:a16="http://schemas.microsoft.com/office/drawing/2014/main" id="{979ADB84-6F42-FD29-A9C8-9C1A5A333D59}"/>
            </a:ext>
          </a:extLst>
        </xdr:cNvPr>
        <xdr:cNvSpPr txBox="1"/>
      </xdr:nvSpPr>
      <xdr:spPr>
        <a:xfrm>
          <a:off x="14257735" y="4520207"/>
          <a:ext cx="3705820" cy="398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tx1"/>
              </a:solidFill>
              <a:latin typeface="Garamond" panose="02020404030301010803" pitchFamily="18" charset="0"/>
              <a:cs typeface="Arial" panose="020B0604020202020204" pitchFamily="34" charset="0"/>
            </a:rPr>
            <a:t>Top</a:t>
          </a:r>
          <a:r>
            <a:rPr lang="en-US" sz="2000" b="0" baseline="0">
              <a:solidFill>
                <a:schemeClr val="tx1"/>
              </a:solidFill>
              <a:latin typeface="Garamond" panose="02020404030301010803" pitchFamily="18" charset="0"/>
              <a:cs typeface="Arial" panose="020B0604020202020204" pitchFamily="34" charset="0"/>
            </a:rPr>
            <a:t> 5 </a:t>
          </a:r>
          <a:r>
            <a:rPr lang="en-US" sz="2000" b="1">
              <a:solidFill>
                <a:schemeClr val="tx1"/>
              </a:solidFill>
              <a:latin typeface="Garamond" panose="02020404030301010803" pitchFamily="18" charset="0"/>
              <a:cs typeface="Arial" panose="020B0604020202020204" pitchFamily="34" charset="0"/>
            </a:rPr>
            <a:t>State</a:t>
          </a:r>
          <a:r>
            <a:rPr lang="en-US" sz="2000" b="0" baseline="0">
              <a:solidFill>
                <a:schemeClr val="tx1"/>
              </a:solidFill>
              <a:latin typeface="Garamond" panose="02020404030301010803" pitchFamily="18" charset="0"/>
              <a:cs typeface="Arial" panose="020B0604020202020204" pitchFamily="34" charset="0"/>
            </a:rPr>
            <a:t> Sales By Performance</a:t>
          </a:r>
          <a:endParaRPr lang="en-NG" sz="2000" b="1">
            <a:solidFill>
              <a:schemeClr val="tx1"/>
            </a:solidFill>
            <a:latin typeface="Garamond" panose="02020404030301010803" pitchFamily="18" charset="0"/>
            <a:cs typeface="Arial" panose="020B0604020202020204" pitchFamily="34" charset="0"/>
          </a:endParaRPr>
        </a:p>
      </xdr:txBody>
    </xdr:sp>
    <xdr:clientData/>
  </xdr:twoCellAnchor>
  <xdr:twoCellAnchor>
    <xdr:from>
      <xdr:col>24</xdr:col>
      <xdr:colOff>253008</xdr:colOff>
      <xdr:row>15</xdr:row>
      <xdr:rowOff>29765</xdr:rowOff>
    </xdr:from>
    <xdr:to>
      <xdr:col>30</xdr:col>
      <xdr:colOff>491132</xdr:colOff>
      <xdr:row>25</xdr:row>
      <xdr:rowOff>29764</xdr:rowOff>
    </xdr:to>
    <xdr:graphicFrame macro="">
      <xdr:nvGraphicFramePr>
        <xdr:cNvPr id="52" name="Chart 51">
          <a:extLst>
            <a:ext uri="{FF2B5EF4-FFF2-40B4-BE49-F238E27FC236}">
              <a16:creationId xmlns:a16="http://schemas.microsoft.com/office/drawing/2014/main" id="{E766ED64-30C1-4334-80AD-1F363E99D9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24</xdr:col>
      <xdr:colOff>133945</xdr:colOff>
      <xdr:row>12</xdr:row>
      <xdr:rowOff>148231</xdr:rowOff>
    </xdr:from>
    <xdr:to>
      <xdr:col>31</xdr:col>
      <xdr:colOff>133946</xdr:colOff>
      <xdr:row>14</xdr:row>
      <xdr:rowOff>159541</xdr:rowOff>
    </xdr:to>
    <xdr:sp macro="" textlink="">
      <xdr:nvSpPr>
        <xdr:cNvPr id="54" name="TextBox 53">
          <a:extLst>
            <a:ext uri="{FF2B5EF4-FFF2-40B4-BE49-F238E27FC236}">
              <a16:creationId xmlns:a16="http://schemas.microsoft.com/office/drawing/2014/main" id="{C5C7B6ED-6F69-E64F-B0C1-21BFF2185CBC}"/>
            </a:ext>
          </a:extLst>
        </xdr:cNvPr>
        <xdr:cNvSpPr txBox="1"/>
      </xdr:nvSpPr>
      <xdr:spPr>
        <a:xfrm>
          <a:off x="14019609" y="1993700"/>
          <a:ext cx="4271368" cy="398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tx1"/>
              </a:solidFill>
              <a:latin typeface="Garamond" panose="02020404030301010803" pitchFamily="18" charset="0"/>
              <a:cs typeface="Arial" panose="020B0604020202020204" pitchFamily="34" charset="0"/>
            </a:rPr>
            <a:t>Top</a:t>
          </a:r>
          <a:r>
            <a:rPr lang="en-US" sz="2000" b="0" baseline="0">
              <a:solidFill>
                <a:schemeClr val="tx1"/>
              </a:solidFill>
              <a:latin typeface="Garamond" panose="02020404030301010803" pitchFamily="18" charset="0"/>
              <a:cs typeface="Arial" panose="020B0604020202020204" pitchFamily="34" charset="0"/>
            </a:rPr>
            <a:t> 5 Revenue Generate By </a:t>
          </a:r>
          <a:r>
            <a:rPr lang="en-US" sz="2000" b="1" baseline="0">
              <a:solidFill>
                <a:schemeClr val="tx1"/>
              </a:solidFill>
              <a:latin typeface="Garamond" panose="02020404030301010803" pitchFamily="18" charset="0"/>
              <a:cs typeface="Arial" panose="020B0604020202020204" pitchFamily="34" charset="0"/>
            </a:rPr>
            <a:t>Customers</a:t>
          </a:r>
          <a:endParaRPr lang="en-NG" sz="2000" b="1">
            <a:solidFill>
              <a:schemeClr val="tx1"/>
            </a:solidFill>
            <a:latin typeface="Garamond" panose="02020404030301010803" pitchFamily="18" charset="0"/>
            <a:cs typeface="Arial" panose="020B0604020202020204" pitchFamily="34" charset="0"/>
          </a:endParaRPr>
        </a:p>
      </xdr:txBody>
    </xdr:sp>
    <xdr:clientData/>
  </xdr:twoCellAnchor>
  <xdr:twoCellAnchor>
    <xdr:from>
      <xdr:col>24</xdr:col>
      <xdr:colOff>193477</xdr:colOff>
      <xdr:row>12</xdr:row>
      <xdr:rowOff>119062</xdr:rowOff>
    </xdr:from>
    <xdr:to>
      <xdr:col>31</xdr:col>
      <xdr:colOff>14883</xdr:colOff>
      <xdr:row>12</xdr:row>
      <xdr:rowOff>119062</xdr:rowOff>
    </xdr:to>
    <xdr:cxnSp macro="">
      <xdr:nvCxnSpPr>
        <xdr:cNvPr id="57" name="Straight Connector 56">
          <a:extLst>
            <a:ext uri="{FF2B5EF4-FFF2-40B4-BE49-F238E27FC236}">
              <a16:creationId xmlns:a16="http://schemas.microsoft.com/office/drawing/2014/main" id="{96152044-868D-3714-07C6-AAD9E2592765}"/>
            </a:ext>
          </a:extLst>
        </xdr:cNvPr>
        <xdr:cNvCxnSpPr/>
      </xdr:nvCxnSpPr>
      <xdr:spPr>
        <a:xfrm>
          <a:off x="14079141" y="1964531"/>
          <a:ext cx="4092773" cy="0"/>
        </a:xfrm>
        <a:prstGeom prst="line">
          <a:avLst/>
        </a:prstGeom>
        <a:ln w="28575">
          <a:gradFill flip="none" rotWithShape="1">
            <a:gsLst>
              <a:gs pos="0">
                <a:schemeClr val="bg1">
                  <a:alpha val="67000"/>
                </a:schemeClr>
              </a:gs>
              <a:gs pos="53000">
                <a:srgbClr val="FAEBC2"/>
              </a:gs>
              <a:gs pos="100000">
                <a:schemeClr val="bg1"/>
              </a:gs>
            </a:gsLst>
            <a:lin ang="0" scaled="1"/>
            <a:tileRect/>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133945</xdr:colOff>
      <xdr:row>25</xdr:row>
      <xdr:rowOff>74414</xdr:rowOff>
    </xdr:from>
    <xdr:to>
      <xdr:col>31</xdr:col>
      <xdr:colOff>0</xdr:colOff>
      <xdr:row>25</xdr:row>
      <xdr:rowOff>89297</xdr:rowOff>
    </xdr:to>
    <xdr:cxnSp macro="">
      <xdr:nvCxnSpPr>
        <xdr:cNvPr id="73" name="Straight Connector 72">
          <a:extLst>
            <a:ext uri="{FF2B5EF4-FFF2-40B4-BE49-F238E27FC236}">
              <a16:creationId xmlns:a16="http://schemas.microsoft.com/office/drawing/2014/main" id="{4B345520-6F63-4D0E-D240-9ADDA14A9A89}"/>
            </a:ext>
          </a:extLst>
        </xdr:cNvPr>
        <xdr:cNvCxnSpPr/>
      </xdr:nvCxnSpPr>
      <xdr:spPr>
        <a:xfrm flipV="1">
          <a:off x="14019609" y="4435078"/>
          <a:ext cx="4137422" cy="14883"/>
        </a:xfrm>
        <a:prstGeom prst="line">
          <a:avLst/>
        </a:prstGeom>
        <a:ln w="28575">
          <a:gradFill flip="none" rotWithShape="1">
            <a:gsLst>
              <a:gs pos="0">
                <a:schemeClr val="bg1">
                  <a:alpha val="67000"/>
                </a:schemeClr>
              </a:gs>
              <a:gs pos="53000">
                <a:srgbClr val="FAEBC2"/>
              </a:gs>
              <a:gs pos="100000">
                <a:schemeClr val="bg1"/>
              </a:gs>
            </a:gsLst>
            <a:lin ang="0" scaled="1"/>
            <a:tileRect/>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36911</xdr:colOff>
      <xdr:row>36</xdr:row>
      <xdr:rowOff>155972</xdr:rowOff>
    </xdr:from>
    <xdr:to>
      <xdr:col>30</xdr:col>
      <xdr:colOff>587575</xdr:colOff>
      <xdr:row>36</xdr:row>
      <xdr:rowOff>155972</xdr:rowOff>
    </xdr:to>
    <xdr:cxnSp macro="">
      <xdr:nvCxnSpPr>
        <xdr:cNvPr id="75" name="Straight Connector 74">
          <a:extLst>
            <a:ext uri="{FF2B5EF4-FFF2-40B4-BE49-F238E27FC236}">
              <a16:creationId xmlns:a16="http://schemas.microsoft.com/office/drawing/2014/main" id="{EC51F310-014F-1EBE-1D18-CA97E229520A}"/>
            </a:ext>
          </a:extLst>
        </xdr:cNvPr>
        <xdr:cNvCxnSpPr/>
      </xdr:nvCxnSpPr>
      <xdr:spPr>
        <a:xfrm>
          <a:off x="13922575" y="6644878"/>
          <a:ext cx="4211836" cy="0"/>
        </a:xfrm>
        <a:prstGeom prst="line">
          <a:avLst/>
        </a:prstGeom>
        <a:ln w="28575">
          <a:gradFill flip="none" rotWithShape="1">
            <a:gsLst>
              <a:gs pos="0">
                <a:schemeClr val="bg1">
                  <a:alpha val="67000"/>
                </a:schemeClr>
              </a:gs>
              <a:gs pos="53000">
                <a:srgbClr val="FAEBC2"/>
              </a:gs>
              <a:gs pos="100000">
                <a:schemeClr val="bg1"/>
              </a:gs>
            </a:gsLst>
            <a:lin ang="0" scaled="1"/>
            <a:tileRect/>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524471</xdr:colOff>
      <xdr:row>4</xdr:row>
      <xdr:rowOff>103584</xdr:rowOff>
    </xdr:from>
    <xdr:to>
      <xdr:col>30</xdr:col>
      <xdr:colOff>569119</xdr:colOff>
      <xdr:row>6</xdr:row>
      <xdr:rowOff>114894</xdr:rowOff>
    </xdr:to>
    <xdr:sp macro="" textlink="">
      <xdr:nvSpPr>
        <xdr:cNvPr id="76" name="TextBox 75">
          <a:extLst>
            <a:ext uri="{FF2B5EF4-FFF2-40B4-BE49-F238E27FC236}">
              <a16:creationId xmlns:a16="http://schemas.microsoft.com/office/drawing/2014/main" id="{DB8BFFBC-0F1C-AA93-E8F8-146ABD153AEE}"/>
            </a:ext>
          </a:extLst>
        </xdr:cNvPr>
        <xdr:cNvSpPr txBox="1"/>
      </xdr:nvSpPr>
      <xdr:spPr>
        <a:xfrm>
          <a:off x="14410135" y="401240"/>
          <a:ext cx="3705820" cy="398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tx1"/>
              </a:solidFill>
              <a:latin typeface="Garamond" panose="02020404030301010803" pitchFamily="18" charset="0"/>
              <a:cs typeface="Arial" panose="020B0604020202020204" pitchFamily="34" charset="0"/>
            </a:rPr>
            <a:t>Sales</a:t>
          </a:r>
          <a:r>
            <a:rPr lang="en-US" sz="2000" b="0" baseline="0">
              <a:solidFill>
                <a:schemeClr val="tx1"/>
              </a:solidFill>
              <a:latin typeface="Garamond" panose="02020404030301010803" pitchFamily="18" charset="0"/>
              <a:cs typeface="Arial" panose="020B0604020202020204" pitchFamily="34" charset="0"/>
            </a:rPr>
            <a:t> Contribution By Gender </a:t>
          </a:r>
          <a:endParaRPr lang="en-NG" sz="2000" b="0">
            <a:solidFill>
              <a:schemeClr val="tx1"/>
            </a:solidFill>
            <a:latin typeface="Garamond" panose="02020404030301010803" pitchFamily="18" charset="0"/>
            <a:cs typeface="Arial" panose="020B0604020202020204" pitchFamily="34" charset="0"/>
          </a:endParaRPr>
        </a:p>
      </xdr:txBody>
    </xdr:sp>
    <xdr:clientData/>
  </xdr:twoCellAnchor>
  <xdr:twoCellAnchor>
    <xdr:from>
      <xdr:col>24</xdr:col>
      <xdr:colOff>394305</xdr:colOff>
      <xdr:row>7</xdr:row>
      <xdr:rowOff>133944</xdr:rowOff>
    </xdr:from>
    <xdr:to>
      <xdr:col>25</xdr:col>
      <xdr:colOff>513369</xdr:colOff>
      <xdr:row>11</xdr:row>
      <xdr:rowOff>29766</xdr:rowOff>
    </xdr:to>
    <xdr:sp macro="" textlink="">
      <xdr:nvSpPr>
        <xdr:cNvPr id="81" name="Flowchart: Connector 80">
          <a:extLst>
            <a:ext uri="{FF2B5EF4-FFF2-40B4-BE49-F238E27FC236}">
              <a16:creationId xmlns:a16="http://schemas.microsoft.com/office/drawing/2014/main" id="{34C24231-7D2F-8A0C-E44B-C6D054E5B21B}"/>
            </a:ext>
          </a:extLst>
        </xdr:cNvPr>
        <xdr:cNvSpPr/>
      </xdr:nvSpPr>
      <xdr:spPr>
        <a:xfrm>
          <a:off x="14177540" y="996797"/>
          <a:ext cx="724182" cy="657822"/>
        </a:xfrm>
        <a:prstGeom prst="flowChartConnector">
          <a:avLst/>
        </a:prstGeom>
        <a:solidFill>
          <a:srgbClr val="FAEBC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28</xdr:col>
      <xdr:colOff>248351</xdr:colOff>
      <xdr:row>7</xdr:row>
      <xdr:rowOff>118781</xdr:rowOff>
    </xdr:from>
    <xdr:to>
      <xdr:col>29</xdr:col>
      <xdr:colOff>347383</xdr:colOff>
      <xdr:row>11</xdr:row>
      <xdr:rowOff>67235</xdr:rowOff>
    </xdr:to>
    <xdr:sp macro="" textlink="">
      <xdr:nvSpPr>
        <xdr:cNvPr id="82" name="Flowchart: Connector 81">
          <a:extLst>
            <a:ext uri="{FF2B5EF4-FFF2-40B4-BE49-F238E27FC236}">
              <a16:creationId xmlns:a16="http://schemas.microsoft.com/office/drawing/2014/main" id="{9E96FFBE-BC9B-292F-98D6-23AC0F21FFA8}"/>
            </a:ext>
          </a:extLst>
        </xdr:cNvPr>
        <xdr:cNvSpPr/>
      </xdr:nvSpPr>
      <xdr:spPr>
        <a:xfrm>
          <a:off x="16452057" y="981634"/>
          <a:ext cx="704150" cy="710454"/>
        </a:xfrm>
        <a:prstGeom prst="flowChartConnector">
          <a:avLst/>
        </a:prstGeom>
        <a:solidFill>
          <a:srgbClr val="F2D06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23</xdr:col>
      <xdr:colOff>215713</xdr:colOff>
      <xdr:row>5</xdr:row>
      <xdr:rowOff>104183</xdr:rowOff>
    </xdr:from>
    <xdr:to>
      <xdr:col>26</xdr:col>
      <xdr:colOff>498486</xdr:colOff>
      <xdr:row>12</xdr:row>
      <xdr:rowOff>14885</xdr:rowOff>
    </xdr:to>
    <xdr:graphicFrame macro="">
      <xdr:nvGraphicFramePr>
        <xdr:cNvPr id="83" name="Chart 82">
          <a:extLst>
            <a:ext uri="{FF2B5EF4-FFF2-40B4-BE49-F238E27FC236}">
              <a16:creationId xmlns:a16="http://schemas.microsoft.com/office/drawing/2014/main" id="{FC87A574-DB4E-4963-81BB-3C7EACF450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28</xdr:col>
      <xdr:colOff>22411</xdr:colOff>
      <xdr:row>7</xdr:row>
      <xdr:rowOff>100854</xdr:rowOff>
    </xdr:from>
    <xdr:to>
      <xdr:col>31</xdr:col>
      <xdr:colOff>168089</xdr:colOff>
      <xdr:row>14</xdr:row>
      <xdr:rowOff>100854</xdr:rowOff>
    </xdr:to>
    <xdr:graphicFrame macro="">
      <xdr:nvGraphicFramePr>
        <xdr:cNvPr id="84" name="Chart 83">
          <a:extLst>
            <a:ext uri="{FF2B5EF4-FFF2-40B4-BE49-F238E27FC236}">
              <a16:creationId xmlns:a16="http://schemas.microsoft.com/office/drawing/2014/main" id="{B4AC1D5E-9A1B-4D3C-B4C6-AB28677409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25</xdr:col>
      <xdr:colOff>504264</xdr:colOff>
      <xdr:row>7</xdr:row>
      <xdr:rowOff>166337</xdr:rowOff>
    </xdr:from>
    <xdr:to>
      <xdr:col>27</xdr:col>
      <xdr:colOff>112058</xdr:colOff>
      <xdr:row>9</xdr:row>
      <xdr:rowOff>112059</xdr:rowOff>
    </xdr:to>
    <xdr:sp macro="" textlink="">
      <xdr:nvSpPr>
        <xdr:cNvPr id="85" name="TextBox 84">
          <a:extLst>
            <a:ext uri="{FF2B5EF4-FFF2-40B4-BE49-F238E27FC236}">
              <a16:creationId xmlns:a16="http://schemas.microsoft.com/office/drawing/2014/main" id="{6D530BF7-CB8B-B386-EB66-005ACBA6F863}"/>
            </a:ext>
          </a:extLst>
        </xdr:cNvPr>
        <xdr:cNvSpPr txBox="1"/>
      </xdr:nvSpPr>
      <xdr:spPr>
        <a:xfrm>
          <a:off x="14892617" y="1029190"/>
          <a:ext cx="818029" cy="326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solidFill>
                <a:schemeClr val="tx1"/>
              </a:solidFill>
              <a:latin typeface="Garamond" panose="02020404030301010803" pitchFamily="18" charset="0"/>
              <a:cs typeface="Arial" panose="020B0604020202020204" pitchFamily="34" charset="0"/>
            </a:rPr>
            <a:t>Female</a:t>
          </a:r>
          <a:endParaRPr lang="en-NG" sz="1600" b="0">
            <a:solidFill>
              <a:schemeClr val="tx1"/>
            </a:solidFill>
            <a:latin typeface="Garamond" panose="02020404030301010803" pitchFamily="18" charset="0"/>
            <a:cs typeface="Arial" panose="020B0604020202020204" pitchFamily="34" charset="0"/>
          </a:endParaRPr>
        </a:p>
      </xdr:txBody>
    </xdr:sp>
    <xdr:clientData/>
  </xdr:twoCellAnchor>
  <xdr:twoCellAnchor>
    <xdr:from>
      <xdr:col>29</xdr:col>
      <xdr:colOff>387723</xdr:colOff>
      <xdr:row>8</xdr:row>
      <xdr:rowOff>16179</xdr:rowOff>
    </xdr:from>
    <xdr:to>
      <xdr:col>30</xdr:col>
      <xdr:colOff>600635</xdr:colOff>
      <xdr:row>9</xdr:row>
      <xdr:rowOff>152401</xdr:rowOff>
    </xdr:to>
    <xdr:sp macro="" textlink="">
      <xdr:nvSpPr>
        <xdr:cNvPr id="86" name="TextBox 85">
          <a:extLst>
            <a:ext uri="{FF2B5EF4-FFF2-40B4-BE49-F238E27FC236}">
              <a16:creationId xmlns:a16="http://schemas.microsoft.com/office/drawing/2014/main" id="{C1B088BD-8633-264C-8214-045F5915B416}"/>
            </a:ext>
          </a:extLst>
        </xdr:cNvPr>
        <xdr:cNvSpPr txBox="1"/>
      </xdr:nvSpPr>
      <xdr:spPr>
        <a:xfrm>
          <a:off x="17196547" y="1069532"/>
          <a:ext cx="818029" cy="326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solidFill>
                <a:schemeClr val="tx1"/>
              </a:solidFill>
              <a:latin typeface="Garamond" panose="02020404030301010803" pitchFamily="18" charset="0"/>
              <a:cs typeface="Arial" panose="020B0604020202020204" pitchFamily="34" charset="0"/>
            </a:rPr>
            <a:t>Male</a:t>
          </a:r>
          <a:endParaRPr lang="en-NG" sz="1600" b="0">
            <a:solidFill>
              <a:schemeClr val="tx1"/>
            </a:solidFill>
            <a:latin typeface="Garamond" panose="02020404030301010803" pitchFamily="18" charset="0"/>
            <a:cs typeface="Arial" panose="020B0604020202020204" pitchFamily="34" charset="0"/>
          </a:endParaRPr>
        </a:p>
      </xdr:txBody>
    </xdr:sp>
    <xdr:clientData/>
  </xdr:twoCellAnchor>
  <xdr:twoCellAnchor>
    <xdr:from>
      <xdr:col>25</xdr:col>
      <xdr:colOff>510988</xdr:colOff>
      <xdr:row>9</xdr:row>
      <xdr:rowOff>61002</xdr:rowOff>
    </xdr:from>
    <xdr:to>
      <xdr:col>27</xdr:col>
      <xdr:colOff>118782</xdr:colOff>
      <xdr:row>11</xdr:row>
      <xdr:rowOff>6724</xdr:rowOff>
    </xdr:to>
    <xdr:sp macro="" textlink="">
      <xdr:nvSpPr>
        <xdr:cNvPr id="87" name="TextBox 86">
          <a:extLst>
            <a:ext uri="{FF2B5EF4-FFF2-40B4-BE49-F238E27FC236}">
              <a16:creationId xmlns:a16="http://schemas.microsoft.com/office/drawing/2014/main" id="{2ABA2200-C62A-3539-56AA-97B6FFA24D63}"/>
            </a:ext>
          </a:extLst>
        </xdr:cNvPr>
        <xdr:cNvSpPr txBox="1"/>
      </xdr:nvSpPr>
      <xdr:spPr>
        <a:xfrm>
          <a:off x="14899341" y="1304855"/>
          <a:ext cx="818029" cy="326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G" sz="1600" b="0" i="0" u="none" strike="noStrike">
              <a:solidFill>
                <a:schemeClr val="accent4">
                  <a:lumMod val="75000"/>
                </a:schemeClr>
              </a:solidFill>
              <a:effectLst/>
              <a:latin typeface="Garamond" panose="02020404030301010803" pitchFamily="18" charset="0"/>
              <a:ea typeface="+mn-ea"/>
              <a:cs typeface="+mn-cs"/>
            </a:rPr>
            <a:t>52%</a:t>
          </a:r>
          <a:r>
            <a:rPr lang="en-NG" sz="1600">
              <a:solidFill>
                <a:schemeClr val="accent4">
                  <a:lumMod val="75000"/>
                </a:schemeClr>
              </a:solidFill>
              <a:effectLst/>
              <a:latin typeface="Garamond" panose="02020404030301010803" pitchFamily="18" charset="0"/>
            </a:rPr>
            <a:t> </a:t>
          </a:r>
          <a:endParaRPr lang="en-NG" sz="1600" b="0">
            <a:solidFill>
              <a:schemeClr val="accent4">
                <a:lumMod val="75000"/>
              </a:schemeClr>
            </a:solidFill>
            <a:latin typeface="Garamond" panose="02020404030301010803" pitchFamily="18" charset="0"/>
            <a:cs typeface="Arial" panose="020B0604020202020204" pitchFamily="34" charset="0"/>
          </a:endParaRPr>
        </a:p>
      </xdr:txBody>
    </xdr:sp>
    <xdr:clientData/>
  </xdr:twoCellAnchor>
  <xdr:twoCellAnchor>
    <xdr:from>
      <xdr:col>29</xdr:col>
      <xdr:colOff>372036</xdr:colOff>
      <xdr:row>9</xdr:row>
      <xdr:rowOff>90138</xdr:rowOff>
    </xdr:from>
    <xdr:to>
      <xdr:col>30</xdr:col>
      <xdr:colOff>584948</xdr:colOff>
      <xdr:row>11</xdr:row>
      <xdr:rowOff>35860</xdr:rowOff>
    </xdr:to>
    <xdr:sp macro="" textlink="">
      <xdr:nvSpPr>
        <xdr:cNvPr id="88" name="TextBox 87">
          <a:extLst>
            <a:ext uri="{FF2B5EF4-FFF2-40B4-BE49-F238E27FC236}">
              <a16:creationId xmlns:a16="http://schemas.microsoft.com/office/drawing/2014/main" id="{1E314FCD-1DBC-E6B5-F418-D86571211474}"/>
            </a:ext>
          </a:extLst>
        </xdr:cNvPr>
        <xdr:cNvSpPr txBox="1"/>
      </xdr:nvSpPr>
      <xdr:spPr>
        <a:xfrm>
          <a:off x="17180860" y="1333991"/>
          <a:ext cx="818029" cy="326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G" sz="1800" b="0" i="0" u="none" strike="noStrike">
              <a:solidFill>
                <a:schemeClr val="accent4">
                  <a:lumMod val="75000"/>
                </a:schemeClr>
              </a:solidFill>
              <a:effectLst/>
              <a:latin typeface="Garamond" panose="02020404030301010803" pitchFamily="18" charset="0"/>
              <a:ea typeface="+mn-ea"/>
              <a:cs typeface="+mn-cs"/>
            </a:rPr>
            <a:t>48%</a:t>
          </a:r>
          <a:r>
            <a:rPr lang="en-NG" sz="1800">
              <a:solidFill>
                <a:schemeClr val="accent4">
                  <a:lumMod val="75000"/>
                </a:schemeClr>
              </a:solidFill>
              <a:effectLst/>
              <a:latin typeface="Garamond" panose="02020404030301010803" pitchFamily="18" charset="0"/>
            </a:rPr>
            <a:t> </a:t>
          </a:r>
          <a:endParaRPr lang="en-NG" sz="1800" b="0">
            <a:solidFill>
              <a:schemeClr val="accent4">
                <a:lumMod val="75000"/>
              </a:schemeClr>
            </a:solidFill>
            <a:latin typeface="Garamond" panose="02020404030301010803" pitchFamily="18" charset="0"/>
            <a:cs typeface="Arial" panose="020B0604020202020204" pitchFamily="34" charset="0"/>
          </a:endParaRPr>
        </a:p>
      </xdr:txBody>
    </xdr:sp>
    <xdr:clientData/>
  </xdr:twoCellAnchor>
  <xdr:twoCellAnchor editAs="oneCell">
    <xdr:from>
      <xdr:col>24</xdr:col>
      <xdr:colOff>537884</xdr:colOff>
      <xdr:row>8</xdr:row>
      <xdr:rowOff>33619</xdr:rowOff>
    </xdr:from>
    <xdr:to>
      <xdr:col>25</xdr:col>
      <xdr:colOff>425824</xdr:colOff>
      <xdr:row>10</xdr:row>
      <xdr:rowOff>145677</xdr:rowOff>
    </xdr:to>
    <xdr:pic>
      <xdr:nvPicPr>
        <xdr:cNvPr id="90" name="Graphic 89" descr="Female Profile with solid fill">
          <a:extLst>
            <a:ext uri="{FF2B5EF4-FFF2-40B4-BE49-F238E27FC236}">
              <a16:creationId xmlns:a16="http://schemas.microsoft.com/office/drawing/2014/main" id="{FBA6C229-64C7-0CE4-D529-17E3E69F84FE}"/>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4321119" y="1086972"/>
          <a:ext cx="493058" cy="493058"/>
        </a:xfrm>
        <a:prstGeom prst="rect">
          <a:avLst/>
        </a:prstGeom>
      </xdr:spPr>
    </xdr:pic>
    <xdr:clientData/>
  </xdr:twoCellAnchor>
  <xdr:twoCellAnchor editAs="oneCell">
    <xdr:from>
      <xdr:col>28</xdr:col>
      <xdr:colOff>351707</xdr:colOff>
      <xdr:row>8</xdr:row>
      <xdr:rowOff>4325</xdr:rowOff>
    </xdr:from>
    <xdr:to>
      <xdr:col>29</xdr:col>
      <xdr:colOff>257735</xdr:colOff>
      <xdr:row>10</xdr:row>
      <xdr:rowOff>134471</xdr:rowOff>
    </xdr:to>
    <xdr:pic>
      <xdr:nvPicPr>
        <xdr:cNvPr id="92" name="Graphic 91" descr="Male profile with solid fill">
          <a:extLst>
            <a:ext uri="{FF2B5EF4-FFF2-40B4-BE49-F238E27FC236}">
              <a16:creationId xmlns:a16="http://schemas.microsoft.com/office/drawing/2014/main" id="{E3B39AC9-FFBA-943D-9B0D-657DD9795031}"/>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6555413" y="1057678"/>
          <a:ext cx="511146" cy="511146"/>
        </a:xfrm>
        <a:prstGeom prst="rect">
          <a:avLst/>
        </a:prstGeom>
      </xdr:spPr>
    </xdr:pic>
    <xdr:clientData/>
  </xdr:twoCellAnchor>
  <xdr:twoCellAnchor editAs="oneCell">
    <xdr:from>
      <xdr:col>6</xdr:col>
      <xdr:colOff>36538</xdr:colOff>
      <xdr:row>3</xdr:row>
      <xdr:rowOff>51486</xdr:rowOff>
    </xdr:from>
    <xdr:to>
      <xdr:col>14</xdr:col>
      <xdr:colOff>463377</xdr:colOff>
      <xdr:row>5</xdr:row>
      <xdr:rowOff>-1</xdr:rowOff>
    </xdr:to>
    <mc:AlternateContent xmlns:mc="http://schemas.openxmlformats.org/markup-compatibility/2006">
      <mc:Choice xmlns:a14="http://schemas.microsoft.com/office/drawing/2010/main" Requires="a14">
        <xdr:graphicFrame macro="">
          <xdr:nvGraphicFramePr>
            <xdr:cNvPr id="93" name="Product_Name">
              <a:extLst>
                <a:ext uri="{FF2B5EF4-FFF2-40B4-BE49-F238E27FC236}">
                  <a16:creationId xmlns:a16="http://schemas.microsoft.com/office/drawing/2014/main" id="{1C0F6305-0965-4C9B-931E-F4C41C5D7CAE}"/>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3704374" y="51486"/>
              <a:ext cx="5317287" cy="43187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51486</xdr:colOff>
      <xdr:row>3</xdr:row>
      <xdr:rowOff>33219</xdr:rowOff>
    </xdr:from>
    <xdr:to>
      <xdr:col>21</xdr:col>
      <xdr:colOff>167330</xdr:colOff>
      <xdr:row>4</xdr:row>
      <xdr:rowOff>141588</xdr:rowOff>
    </xdr:to>
    <mc:AlternateContent xmlns:mc="http://schemas.openxmlformats.org/markup-compatibility/2006">
      <mc:Choice xmlns:a14="http://schemas.microsoft.com/office/drawing/2010/main" Requires="a14">
        <xdr:graphicFrame macro="">
          <xdr:nvGraphicFramePr>
            <xdr:cNvPr id="94" name="Months">
              <a:extLst>
                <a:ext uri="{FF2B5EF4-FFF2-40B4-BE49-F238E27FC236}">
                  <a16:creationId xmlns:a16="http://schemas.microsoft.com/office/drawing/2014/main" id="{39806B03-37D7-4B59-BE31-4B123A18C510}"/>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9405889" y="33219"/>
              <a:ext cx="2831180" cy="40691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347533</xdr:colOff>
      <xdr:row>0</xdr:row>
      <xdr:rowOff>0</xdr:rowOff>
    </xdr:from>
    <xdr:to>
      <xdr:col>24</xdr:col>
      <xdr:colOff>450506</xdr:colOff>
      <xdr:row>4</xdr:row>
      <xdr:rowOff>154460</xdr:rowOff>
    </xdr:to>
    <mc:AlternateContent xmlns:mc="http://schemas.openxmlformats.org/markup-compatibility/2006">
      <mc:Choice xmlns:a14="http://schemas.microsoft.com/office/drawing/2010/main" Requires="a14">
        <xdr:graphicFrame macro="">
          <xdr:nvGraphicFramePr>
            <xdr:cNvPr id="95" name="years">
              <a:extLst>
                <a:ext uri="{FF2B5EF4-FFF2-40B4-BE49-F238E27FC236}">
                  <a16:creationId xmlns:a16="http://schemas.microsoft.com/office/drawing/2014/main" id="{BC8D4DAE-B7E9-4DDD-9635-B37B68AEB92B}"/>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12417272" y="0"/>
              <a:ext cx="1936891" cy="45300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mah" refreshedDate="46057.838576967595" backgroundQuery="1" createdVersion="8" refreshedVersion="8" minRefreshableVersion="3" recordCount="0" supportSubquery="1" supportAdvancedDrill="1" xr:uid="{A3F0F179-04F6-41C2-A95E-D5FB36E2F989}">
  <cacheSource type="external" connectionId="5"/>
  <cacheFields count="3">
    <cacheField name="[mtn_customer_churn].[Product_Name].[Product_Name]" caption="Product_Name" numFmtId="0" hierarchy="7" level="1">
      <sharedItems count="4">
        <s v="4G Router"/>
        <s v="5G Broadband Router"/>
        <s v="Broadband MiFi"/>
        <s v="Mobile SIM Card"/>
      </sharedItems>
    </cacheField>
    <cacheField name="[Measures].[Total Revenew]" caption="Total Revenew" numFmtId="0" hierarchy="30" level="32767"/>
    <cacheField name="[order date].[Months].[Months]" caption="Months" numFmtId="0" hierarchy="21" level="1">
      <sharedItems containsSemiMixedTypes="0" containsNonDate="0" containsString="0"/>
    </cacheField>
  </cacheFields>
  <cacheHierarchies count="50">
    <cacheHierarchy uniqueName="[Age-Group].[Age_Group]" caption="Age_Group" attribute="1" defaultMemberUniqueName="[Age-Group].[Age_Group].[All]" allUniqueName="[Age-Group].[Age_Group].[All]" dimensionUniqueName="[Age-Group]" displayFolder="" count="0" memberValueDatatype="130" unbalanced="0"/>
    <cacheHierarchy uniqueName="[Age-Group].[Age_num]" caption="Age_num" attribute="1" defaultMemberUniqueName="[Age-Group].[Age_num].[All]" allUniqueName="[Age-Group].[Age_num].[All]" dimensionUniqueName="[Age-Group]" displayFolder="" count="0" memberValueDatatype="130" unbalanced="0"/>
    <cacheHierarchy uniqueName="[Calculation].[Column1]" caption="Column1" attribute="1" defaultMemberUniqueName="[Calculation].[Column1].[All]" allUniqueName="[Calculation].[Column1].[All]" dimensionUniqueName="[Calculation]" displayFolder="" count="0" memberValueDatatype="130" unbalanced="0"/>
    <cacheHierarchy uniqueName="[mtn_customer_churn].[Customer ID]" caption="Customer ID" attribute="1" defaultMemberUniqueName="[mtn_customer_churn].[Customer ID].[All]" allUniqueName="[mtn_customer_churn].[Customer ID].[All]" dimensionUniqueName="[mtn_customer_churn]" displayFolder="" count="0" memberValueDatatype="130" unbalanced="0"/>
    <cacheHierarchy uniqueName="[mtn_customer_churn].[Full Name]" caption="Full Name" attribute="1" defaultMemberUniqueName="[mtn_customer_churn].[Full Name].[All]" allUniqueName="[mtn_customer_churn].[Full Name].[All]" dimensionUniqueName="[mtn_customer_churn]" displayFolder="" count="0" memberValueDatatype="130" unbalanced="0"/>
    <cacheHierarchy uniqueName="[mtn_customer_churn].[Age]" caption="Age" attribute="1" defaultMemberUniqueName="[mtn_customer_churn].[Age].[All]" allUniqueName="[mtn_customer_churn].[Age].[All]" dimensionUniqueName="[mtn_customer_churn]" displayFolder="" count="0" memberValueDatatype="20" unbalanced="0"/>
    <cacheHierarchy uniqueName="[mtn_customer_churn].[State]" caption="State" attribute="1" defaultMemberUniqueName="[mtn_customer_churn].[State].[All]" allUniqueName="[mtn_customer_churn].[State].[All]" dimensionUniqueName="[mtn_customer_churn]" displayFolder="" count="0" memberValueDatatype="130" unbalanced="0"/>
    <cacheHierarchy uniqueName="[mtn_customer_churn].[Product_Name]" caption="Product_Name" attribute="1" defaultMemberUniqueName="[mtn_customer_churn].[Product_Name].[All]" allUniqueName="[mtn_customer_churn].[Product_Name].[All]" dimensionUniqueName="[mtn_customer_churn]" displayFolder="" count="2" memberValueDatatype="130" unbalanced="0">
      <fieldsUsage count="2">
        <fieldUsage x="-1"/>
        <fieldUsage x="0"/>
      </fieldsUsage>
    </cacheHierarchy>
    <cacheHierarchy uniqueName="[mtn_customer_churn].[Gender]" caption="Gender" attribute="1" defaultMemberUniqueName="[mtn_customer_churn].[Gender].[All]" allUniqueName="[mtn_customer_churn].[Gender].[All]" dimensionUniqueName="[mtn_customer_churn]" displayFolder="" count="0" memberValueDatatype="130" unbalanced="0"/>
    <cacheHierarchy uniqueName="[mtn_customer_churn].[Satisfaction Rate]" caption="Satisfaction Rate" attribute="1" defaultMemberUniqueName="[mtn_customer_churn].[Satisfaction Rate].[All]" allUniqueName="[mtn_customer_churn].[Satisfaction Rate].[All]" dimensionUniqueName="[mtn_customer_churn]" displayFolder="" count="0" memberValueDatatype="20" unbalanced="0"/>
    <cacheHierarchy uniqueName="[mtn_customer_churn].[Customer Review]" caption="Customer Review" attribute="1" defaultMemberUniqueName="[mtn_customer_churn].[Customer Review].[All]" allUniqueName="[mtn_customer_churn].[Customer Review].[All]" dimensionUniqueName="[mtn_customer_churn]" displayFolder="" count="0" memberValueDatatype="130" unbalanced="0"/>
    <cacheHierarchy uniqueName="[mtn_customer_churn].[Customer Tenure in months]" caption="Customer Tenure in months" attribute="1" defaultMemberUniqueName="[mtn_customer_churn].[Customer Tenure in months].[All]" allUniqueName="[mtn_customer_churn].[Customer Tenure in months].[All]" dimensionUniqueName="[mtn_customer_churn]" displayFolder="" count="0" memberValueDatatype="20" unbalanced="0"/>
    <cacheHierarchy uniqueName="[mtn_customer_churn].[Subscription Plan]" caption="Subscription Plan" attribute="1" defaultMemberUniqueName="[mtn_customer_churn].[Subscription Plan].[All]" allUniqueName="[mtn_customer_churn].[Subscription Plan].[All]" dimensionUniqueName="[mtn_customer_churn]" displayFolder="" count="0" memberValueDatatype="130" unbalanced="0"/>
    <cacheHierarchy uniqueName="[mtn_customer_churn].[Unit Price]" caption="Unit Price" attribute="1" defaultMemberUniqueName="[mtn_customer_churn].[Unit Price].[All]" allUniqueName="[mtn_customer_churn].[Unit Price].[All]" dimensionUniqueName="[mtn_customer_churn]" displayFolder="" count="0" memberValueDatatype="5" unbalanced="0"/>
    <cacheHierarchy uniqueName="[mtn_customer_churn].[Quantity Sold]" caption="Quantity Sold" attribute="1" defaultMemberUniqueName="[mtn_customer_churn].[Quantity Sold].[All]" allUniqueName="[mtn_customer_churn].[Quantity Sold].[All]" dimensionUniqueName="[mtn_customer_churn]" displayFolder="" count="0" memberValueDatatype="20" unbalanced="0"/>
    <cacheHierarchy uniqueName="[mtn_customer_churn].[Total Revenue]" caption="Total Revenue" attribute="1" defaultMemberUniqueName="[mtn_customer_churn].[Total Revenue].[All]" allUniqueName="[mtn_customer_churn].[Total Revenue].[All]" dimensionUniqueName="[mtn_customer_churn]" displayFolder="" count="0" memberValueDatatype="5" unbalanced="0"/>
    <cacheHierarchy uniqueName="[mtn_customer_churn].[Data Usage]" caption="Data Usage" attribute="1" defaultMemberUniqueName="[mtn_customer_churn].[Data Usage].[All]" allUniqueName="[mtn_customer_churn].[Data Usage].[All]" dimensionUniqueName="[mtn_customer_churn]" displayFolder="" count="0" memberValueDatatype="5" unbalanced="0"/>
    <cacheHierarchy uniqueName="[mtn_customer_churn].[Customer Churn Status]" caption="Customer Churn Status" attribute="1" defaultMemberUniqueName="[mtn_customer_churn].[Customer Churn Status].[All]" allUniqueName="[mtn_customer_churn].[Customer Churn Status].[All]" dimensionUniqueName="[mtn_customer_churn]" displayFolder="" count="0" memberValueDatatype="130" unbalanced="0"/>
    <cacheHierarchy uniqueName="[mtn_customer_churn].[Reasons for Churn]" caption="Reasons for Churn" attribute="1" defaultMemberUniqueName="[mtn_customer_churn].[Reasons for Churn].[All]" allUniqueName="[mtn_customer_churn].[Reasons for Churn].[All]" dimensionUniqueName="[mtn_customer_churn]" displayFolder="" count="0" memberValueDatatype="130" unbalanced="0"/>
    <cacheHierarchy uniqueName="[order date].[Order_date]" caption="Order_date" attribute="1" time="1" defaultMemberUniqueName="[order date].[Order_date].[All]" allUniqueName="[order date].[Order_date].[All]" dimensionUniqueName="[order date]" displayFolder="" count="0" memberValueDatatype="7" unbalanced="0"/>
    <cacheHierarchy uniqueName="[order date].[years]" caption="years" attribute="1" defaultMemberUniqueName="[order date].[years].[All]" allUniqueName="[order date].[years].[All]" dimensionUniqueName="[order date]" displayFolder="" count="2" memberValueDatatype="20" unbalanced="0"/>
    <cacheHierarchy uniqueName="[order date].[Months]" caption="Months" attribute="1" defaultMemberUniqueName="[order date].[Months].[All]" allUniqueName="[order date].[Months].[All]" dimensionUniqueName="[order date]" displayFolder="" count="2" memberValueDatatype="130" unbalanced="0">
      <fieldsUsage count="2">
        <fieldUsage x="-1"/>
        <fieldUsage x="2"/>
      </fieldsUsage>
    </cacheHierarchy>
    <cacheHierarchy uniqueName="[order date].[Months Num]" caption="Months Num" attribute="1" defaultMemberUniqueName="[order date].[Months Num].[All]" allUniqueName="[order date].[Months Num].[All]" dimensionUniqueName="[order date]" displayFolder="" count="0" memberValueDatatype="20" unbalanced="0"/>
    <cacheHierarchy uniqueName="[order date].[Weekdays]" caption="Weekdays" attribute="1" defaultMemberUniqueName="[order date].[Weekdays].[All]" allUniqueName="[order date].[Weekdays].[All]" dimensionUniqueName="[order date]" displayFolder="" count="0" memberValueDatatype="130" unbalanced="0"/>
    <cacheHierarchy uniqueName="[order date].[Days of the weeks]" caption="Days of the weeks" attribute="1" defaultMemberUniqueName="[order date].[Days of the weeks].[All]" allUniqueName="[order date].[Days of the weeks].[All]" dimensionUniqueName="[order date]" displayFolder="" count="0" memberValueDatatype="20" unbalanced="0"/>
    <cacheHierarchy uniqueName="[order date].[Weektype]" caption="Weektype" attribute="1" defaultMemberUniqueName="[order date].[Weektype].[All]" allUniqueName="[order date].[Weektype].[All]" dimensionUniqueName="[order date]" displayFolder="" count="0" memberValueDatatype="130" unbalanced="0"/>
    <cacheHierarchy uniqueName="[order date].[Quarter]" caption="Quarter" attribute="1" defaultMemberUniqueName="[order date].[Quarter].[All]" allUniqueName="[order date].[Quarter].[All]" dimensionUniqueName="[order date]" displayFolder="" count="0" memberValueDatatype="130" unbalanced="0"/>
    <cacheHierarchy uniqueName="[order date].[Week_Type]" caption="Week_Type" attribute="1" defaultMemberUniqueName="[order date].[Week_Type].[All]" allUniqueName="[order date].[Week_Type].[All]" dimensionUniqueName="[order date]" displayFolder="" count="0" memberValueDatatype="130" unbalanced="0"/>
    <cacheHierarchy uniqueName="[mtn_customer_churn].[Age_Group]" caption="Age_Group" attribute="1" defaultMemberUniqueName="[mtn_customer_churn].[Age_Group].[All]" allUniqueName="[mtn_customer_churn].[Age_Group].[All]" dimensionUniqueName="[mtn_customer_churn]" displayFolder="" count="0" memberValueDatatype="130" unbalanced="0" hidden="1"/>
    <cacheHierarchy uniqueName="[mtn_customer_churn].[Order_Date]" caption="Order_Date" attribute="1" time="1" defaultMemberUniqueName="[mtn_customer_churn].[Order_Date].[All]" allUniqueName="[mtn_customer_churn].[Order_Date].[All]" dimensionUniqueName="[mtn_customer_churn]" displayFolder="" count="0" memberValueDatatype="7" unbalanced="0" hidden="1"/>
    <cacheHierarchy uniqueName="[Measures].[Total Revenew]" caption="Total Revenew" measure="1" displayFolder="" measureGroup="Calculation" count="0" oneField="1">
      <fieldsUsage count="1">
        <fieldUsage x="1"/>
      </fieldsUsage>
    </cacheHierarchy>
    <cacheHierarchy uniqueName="[Measures].[Total Customers]" caption="Total Customers" measure="1" displayFolder="" measureGroup="Calculation" count="0"/>
    <cacheHierarchy uniqueName="[Measures].[Churned customer]" caption="Churned customer" measure="1" displayFolder="" measureGroup="Calculation" count="0"/>
    <cacheHierarchy uniqueName="[Measures].[Churn Rate]" caption="Churn Rate" measure="1" displayFolder="" measureGroup="Calculation" count="0"/>
    <cacheHierarchy uniqueName="[Measures].[Avg. Tenure (month)]" caption="Avg. Tenure (month)" measure="1" displayFolder="" measureGroup="Calculation" count="0"/>
    <cacheHierarchy uniqueName="[Measures].[Avg.Satisfaction Score]" caption="Avg.Satisfaction Score" measure="1" displayFolder="" measureGroup="Calculation" count="0"/>
    <cacheHierarchy uniqueName="[Measures].[product]" caption="product" measure="1" displayFolder="" measureGroup="Calculation" count="0"/>
    <cacheHierarchy uniqueName="[Measures].[Total Qty Sold]" caption="Total Qty Sold" measure="1" displayFolder="" measureGroup="Calculation" count="0"/>
    <cacheHierarchy uniqueName="[Measures].[Total Unit Sold]" caption="Total Unit Sold" measure="1" displayFolder="" measureGroup="Calculation" count="0"/>
    <cacheHierarchy uniqueName="[Measures].[Avg. Revenue per customer]" caption="Avg. Revenue per customer" measure="1" displayFolder="" measureGroup="mtn_customer_churn" count="0"/>
    <cacheHierarchy uniqueName="[Measures].[Avg. revenue per product]" caption="Avg. revenue per product" measure="1" displayFolder="" measureGroup="Calculation" count="0"/>
    <cacheHierarchy uniqueName="[Measures].[__XL_Count mtn_customer_churn]" caption="__XL_Count mtn_customer_churn" measure="1" displayFolder="" measureGroup="mtn_customer_churn" count="0" hidden="1"/>
    <cacheHierarchy uniqueName="[Measures].[__XL_Count Age-Group]" caption="__XL_Count Age-Group" measure="1" displayFolder="" measureGroup="Age-Group" count="0" hidden="1"/>
    <cacheHierarchy uniqueName="[Measures].[__XL_Count order date]" caption="__XL_Count order date" measure="1" displayFolder="" measureGroup="order date" count="0" hidden="1"/>
    <cacheHierarchy uniqueName="[Measures].[__XL_Count Calculation]" caption="__XL_Count Calculation" measure="1" displayFolder="" measureGroup="Calculation" count="0" hidden="1"/>
    <cacheHierarchy uniqueName="[Measures].[__No measures defined]" caption="__No measures defined" measure="1" displayFolder="" count="0" hidden="1"/>
    <cacheHierarchy uniqueName="[Measures].[Sum of Data Usage]" caption="Sum of Data Usage" measure="1" displayFolder="" measureGroup="mtn_customer_churn" count="0" hidden="1">
      <extLst>
        <ext xmlns:x15="http://schemas.microsoft.com/office/spreadsheetml/2010/11/main" uri="{B97F6D7D-B522-45F9-BDA1-12C45D357490}">
          <x15:cacheHierarchy aggregatedColumn="16"/>
        </ext>
      </extLst>
    </cacheHierarchy>
    <cacheHierarchy uniqueName="[Measures].[Sum of Quantity Sold]" caption="Sum of Quantity Sold" measure="1" displayFolder="" measureGroup="mtn_customer_churn" count="0" hidden="1">
      <extLst>
        <ext xmlns:x15="http://schemas.microsoft.com/office/spreadsheetml/2010/11/main" uri="{B97F6D7D-B522-45F9-BDA1-12C45D357490}">
          <x15:cacheHierarchy aggregatedColumn="14"/>
        </ext>
      </extLst>
    </cacheHierarchy>
    <cacheHierarchy uniqueName="[Measures].[Count of Customer Churn Status]" caption="Count of Customer Churn Status" measure="1" displayFolder="" measureGroup="mtn_customer_churn" count="0" hidden="1">
      <extLst>
        <ext xmlns:x15="http://schemas.microsoft.com/office/spreadsheetml/2010/11/main" uri="{B97F6D7D-B522-45F9-BDA1-12C45D357490}">
          <x15:cacheHierarchy aggregatedColumn="17"/>
        </ext>
      </extLst>
    </cacheHierarchy>
    <cacheHierarchy uniqueName="[Measures].[Sum of Days of the weeks]" caption="Sum of Days of the weeks" measure="1" displayFolder="" measureGroup="order date" count="0" hidden="1">
      <extLst>
        <ext xmlns:x15="http://schemas.microsoft.com/office/spreadsheetml/2010/11/main" uri="{B97F6D7D-B522-45F9-BDA1-12C45D357490}">
          <x15:cacheHierarchy aggregatedColumn="24"/>
        </ext>
      </extLst>
    </cacheHierarchy>
  </cacheHierarchies>
  <kpis count="0"/>
  <dimensions count="5">
    <dimension name="Age-Group" uniqueName="[Age-Group]" caption="Age-Group"/>
    <dimension name="Calculation" uniqueName="[Calculation]" caption="Calculation"/>
    <dimension measure="1" name="Measures" uniqueName="[Measures]" caption="Measures"/>
    <dimension name="mtn_customer_churn" uniqueName="[mtn_customer_churn]" caption="mtn_customer_churn"/>
    <dimension name="order date" uniqueName="[order date]" caption="order date"/>
  </dimensions>
  <measureGroups count="4">
    <measureGroup name="Age-Group" caption="Age-Group"/>
    <measureGroup name="Calculation" caption="Calculation"/>
    <measureGroup name="mtn_customer_churn" caption="mtn_customer_churn"/>
    <measureGroup name="order date" caption="order dat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mah" refreshedDate="46057.838577662034" backgroundQuery="1" createdVersion="8" refreshedVersion="8" minRefreshableVersion="3" recordCount="0" supportSubquery="1" supportAdvancedDrill="1" xr:uid="{1E62A31E-C21C-439D-87C2-A9D76CDEA1A6}">
  <cacheSource type="external" connectionId="5"/>
  <cacheFields count="4">
    <cacheField name="[mtn_customer_churn].[Subscription Plan].[Subscription Plan]" caption="Subscription Plan" numFmtId="0" hierarchy="12" level="1">
      <sharedItems count="10">
        <s v="10GB+10mins Monthly Plan"/>
        <s v="12.5GB Monthly Plan"/>
        <s v="120GB Monthly Broadband Plan"/>
        <s v="150GB FUP Monthly Unlimited"/>
        <s v="165GB Monthly Plan"/>
        <s v="25GB Monthly Plan"/>
        <s v="300GB FUP Monthly Unlimited"/>
        <s v="30GB Monthly Broadband Plan"/>
        <s v="60GB Monthly Broadband Plan"/>
        <s v="65GB Monthly Plan"/>
      </sharedItems>
    </cacheField>
    <cacheField name="[Age-Group].[Age_Group].[Age_Group]" caption="Age_Group" numFmtId="0" level="1">
      <sharedItems count="7">
        <s v="&lt; 20"/>
        <s v="21-30"/>
        <s v="31-40"/>
        <s v="41-50"/>
        <s v="51-60"/>
        <s v="61-70"/>
        <s v="71-80"/>
      </sharedItems>
    </cacheField>
    <cacheField name="[Measures].[Total Revenew]" caption="Total Revenew" numFmtId="0" hierarchy="30" level="32767"/>
    <cacheField name="[order date].[Months].[Months]" caption="Months" numFmtId="0" hierarchy="21" level="1">
      <sharedItems containsSemiMixedTypes="0" containsNonDate="0" containsString="0"/>
    </cacheField>
  </cacheFields>
  <cacheHierarchies count="50">
    <cacheHierarchy uniqueName="[Age-Group].[Age_Group]" caption="Age_Group" attribute="1" defaultMemberUniqueName="[Age-Group].[Age_Group].[All]" allUniqueName="[Age-Group].[Age_Group].[All]" dimensionUniqueName="[Age-Group]" displayFolder="" count="2" memberValueDatatype="130" unbalanced="0">
      <fieldsUsage count="2">
        <fieldUsage x="-1"/>
        <fieldUsage x="1"/>
      </fieldsUsage>
    </cacheHierarchy>
    <cacheHierarchy uniqueName="[Age-Group].[Age_num]" caption="Age_num" attribute="1" defaultMemberUniqueName="[Age-Group].[Age_num].[All]" allUniqueName="[Age-Group].[Age_num].[All]" dimensionUniqueName="[Age-Group]" displayFolder="" count="0" memberValueDatatype="130" unbalanced="0"/>
    <cacheHierarchy uniqueName="[Calculation].[Column1]" caption="Column1" attribute="1" defaultMemberUniqueName="[Calculation].[Column1].[All]" allUniqueName="[Calculation].[Column1].[All]" dimensionUniqueName="[Calculation]" displayFolder="" count="0" memberValueDatatype="130" unbalanced="0"/>
    <cacheHierarchy uniqueName="[mtn_customer_churn].[Customer ID]" caption="Customer ID" attribute="1" defaultMemberUniqueName="[mtn_customer_churn].[Customer ID].[All]" allUniqueName="[mtn_customer_churn].[Customer ID].[All]" dimensionUniqueName="[mtn_customer_churn]" displayFolder="" count="0" memberValueDatatype="130" unbalanced="0"/>
    <cacheHierarchy uniqueName="[mtn_customer_churn].[Full Name]" caption="Full Name" attribute="1" defaultMemberUniqueName="[mtn_customer_churn].[Full Name].[All]" allUniqueName="[mtn_customer_churn].[Full Name].[All]" dimensionUniqueName="[mtn_customer_churn]" displayFolder="" count="0" memberValueDatatype="130" unbalanced="0"/>
    <cacheHierarchy uniqueName="[mtn_customer_churn].[Age]" caption="Age" attribute="1" defaultMemberUniqueName="[mtn_customer_churn].[Age].[All]" allUniqueName="[mtn_customer_churn].[Age].[All]" dimensionUniqueName="[mtn_customer_churn]" displayFolder="" count="0" memberValueDatatype="20" unbalanced="0"/>
    <cacheHierarchy uniqueName="[mtn_customer_churn].[State]" caption="State" attribute="1" defaultMemberUniqueName="[mtn_customer_churn].[State].[All]" allUniqueName="[mtn_customer_churn].[State].[All]" dimensionUniqueName="[mtn_customer_churn]" displayFolder="" count="0" memberValueDatatype="130" unbalanced="0"/>
    <cacheHierarchy uniqueName="[mtn_customer_churn].[Product_Name]" caption="Product_Name" attribute="1" defaultMemberUniqueName="[mtn_customer_churn].[Product_Name].[All]" allUniqueName="[mtn_customer_churn].[Product_Name].[All]" dimensionUniqueName="[mtn_customer_churn]" displayFolder="" count="2" memberValueDatatype="130" unbalanced="0"/>
    <cacheHierarchy uniqueName="[mtn_customer_churn].[Gender]" caption="Gender" attribute="1" defaultMemberUniqueName="[mtn_customer_churn].[Gender].[All]" allUniqueName="[mtn_customer_churn].[Gender].[All]" dimensionUniqueName="[mtn_customer_churn]" displayFolder="" count="0" memberValueDatatype="130" unbalanced="0"/>
    <cacheHierarchy uniqueName="[mtn_customer_churn].[Satisfaction Rate]" caption="Satisfaction Rate" attribute="1" defaultMemberUniqueName="[mtn_customer_churn].[Satisfaction Rate].[All]" allUniqueName="[mtn_customer_churn].[Satisfaction Rate].[All]" dimensionUniqueName="[mtn_customer_churn]" displayFolder="" count="0" memberValueDatatype="20" unbalanced="0"/>
    <cacheHierarchy uniqueName="[mtn_customer_churn].[Customer Review]" caption="Customer Review" attribute="1" defaultMemberUniqueName="[mtn_customer_churn].[Customer Review].[All]" allUniqueName="[mtn_customer_churn].[Customer Review].[All]" dimensionUniqueName="[mtn_customer_churn]" displayFolder="" count="0" memberValueDatatype="130" unbalanced="0"/>
    <cacheHierarchy uniqueName="[mtn_customer_churn].[Customer Tenure in months]" caption="Customer Tenure in months" attribute="1" defaultMemberUniqueName="[mtn_customer_churn].[Customer Tenure in months].[All]" allUniqueName="[mtn_customer_churn].[Customer Tenure in months].[All]" dimensionUniqueName="[mtn_customer_churn]" displayFolder="" count="0" memberValueDatatype="20" unbalanced="0"/>
    <cacheHierarchy uniqueName="[mtn_customer_churn].[Subscription Plan]" caption="Subscription Plan" attribute="1" defaultMemberUniqueName="[mtn_customer_churn].[Subscription Plan].[All]" allUniqueName="[mtn_customer_churn].[Subscription Plan].[All]" dimensionUniqueName="[mtn_customer_churn]" displayFolder="" count="2" memberValueDatatype="130" unbalanced="0">
      <fieldsUsage count="2">
        <fieldUsage x="-1"/>
        <fieldUsage x="0"/>
      </fieldsUsage>
    </cacheHierarchy>
    <cacheHierarchy uniqueName="[mtn_customer_churn].[Unit Price]" caption="Unit Price" attribute="1" defaultMemberUniqueName="[mtn_customer_churn].[Unit Price].[All]" allUniqueName="[mtn_customer_churn].[Unit Price].[All]" dimensionUniqueName="[mtn_customer_churn]" displayFolder="" count="0" memberValueDatatype="5" unbalanced="0"/>
    <cacheHierarchy uniqueName="[mtn_customer_churn].[Quantity Sold]" caption="Quantity Sold" attribute="1" defaultMemberUniqueName="[mtn_customer_churn].[Quantity Sold].[All]" allUniqueName="[mtn_customer_churn].[Quantity Sold].[All]" dimensionUniqueName="[mtn_customer_churn]" displayFolder="" count="0" memberValueDatatype="20" unbalanced="0"/>
    <cacheHierarchy uniqueName="[mtn_customer_churn].[Total Revenue]" caption="Total Revenue" attribute="1" defaultMemberUniqueName="[mtn_customer_churn].[Total Revenue].[All]" allUniqueName="[mtn_customer_churn].[Total Revenue].[All]" dimensionUniqueName="[mtn_customer_churn]" displayFolder="" count="0" memberValueDatatype="5" unbalanced="0"/>
    <cacheHierarchy uniqueName="[mtn_customer_churn].[Data Usage]" caption="Data Usage" attribute="1" defaultMemberUniqueName="[mtn_customer_churn].[Data Usage].[All]" allUniqueName="[mtn_customer_churn].[Data Usage].[All]" dimensionUniqueName="[mtn_customer_churn]" displayFolder="" count="0" memberValueDatatype="5" unbalanced="0"/>
    <cacheHierarchy uniqueName="[mtn_customer_churn].[Customer Churn Status]" caption="Customer Churn Status" attribute="1" defaultMemberUniqueName="[mtn_customer_churn].[Customer Churn Status].[All]" allUniqueName="[mtn_customer_churn].[Customer Churn Status].[All]" dimensionUniqueName="[mtn_customer_churn]" displayFolder="" count="0" memberValueDatatype="130" unbalanced="0"/>
    <cacheHierarchy uniqueName="[mtn_customer_churn].[Reasons for Churn]" caption="Reasons for Churn" attribute="1" defaultMemberUniqueName="[mtn_customer_churn].[Reasons for Churn].[All]" allUniqueName="[mtn_customer_churn].[Reasons for Churn].[All]" dimensionUniqueName="[mtn_customer_churn]" displayFolder="" count="0" memberValueDatatype="130" unbalanced="0"/>
    <cacheHierarchy uniqueName="[order date].[Order_date]" caption="Order_date" attribute="1" time="1" defaultMemberUniqueName="[order date].[Order_date].[All]" allUniqueName="[order date].[Order_date].[All]" dimensionUniqueName="[order date]" displayFolder="" count="0" memberValueDatatype="7" unbalanced="0"/>
    <cacheHierarchy uniqueName="[order date].[years]" caption="years" attribute="1" defaultMemberUniqueName="[order date].[years].[All]" allUniqueName="[order date].[years].[All]" dimensionUniqueName="[order date]" displayFolder="" count="2" memberValueDatatype="20" unbalanced="0"/>
    <cacheHierarchy uniqueName="[order date].[Months]" caption="Months" attribute="1" defaultMemberUniqueName="[order date].[Months].[All]" allUniqueName="[order date].[Months].[All]" dimensionUniqueName="[order date]" displayFolder="" count="2" memberValueDatatype="130" unbalanced="0">
      <fieldsUsage count="2">
        <fieldUsage x="-1"/>
        <fieldUsage x="3"/>
      </fieldsUsage>
    </cacheHierarchy>
    <cacheHierarchy uniqueName="[order date].[Months Num]" caption="Months Num" attribute="1" defaultMemberUniqueName="[order date].[Months Num].[All]" allUniqueName="[order date].[Months Num].[All]" dimensionUniqueName="[order date]" displayFolder="" count="0" memberValueDatatype="20" unbalanced="0"/>
    <cacheHierarchy uniqueName="[order date].[Weekdays]" caption="Weekdays" attribute="1" defaultMemberUniqueName="[order date].[Weekdays].[All]" allUniqueName="[order date].[Weekdays].[All]" dimensionUniqueName="[order date]" displayFolder="" count="0" memberValueDatatype="130" unbalanced="0"/>
    <cacheHierarchy uniqueName="[order date].[Days of the weeks]" caption="Days of the weeks" attribute="1" defaultMemberUniqueName="[order date].[Days of the weeks].[All]" allUniqueName="[order date].[Days of the weeks].[All]" dimensionUniqueName="[order date]" displayFolder="" count="0" memberValueDatatype="20" unbalanced="0"/>
    <cacheHierarchy uniqueName="[order date].[Weektype]" caption="Weektype" attribute="1" defaultMemberUniqueName="[order date].[Weektype].[All]" allUniqueName="[order date].[Weektype].[All]" dimensionUniqueName="[order date]" displayFolder="" count="0" memberValueDatatype="130" unbalanced="0"/>
    <cacheHierarchy uniqueName="[order date].[Quarter]" caption="Quarter" attribute="1" defaultMemberUniqueName="[order date].[Quarter].[All]" allUniqueName="[order date].[Quarter].[All]" dimensionUniqueName="[order date]" displayFolder="" count="0" memberValueDatatype="130" unbalanced="0"/>
    <cacheHierarchy uniqueName="[order date].[Week_Type]" caption="Week_Type" attribute="1" defaultMemberUniqueName="[order date].[Week_Type].[All]" allUniqueName="[order date].[Week_Type].[All]" dimensionUniqueName="[order date]" displayFolder="" count="0" memberValueDatatype="130" unbalanced="0"/>
    <cacheHierarchy uniqueName="[mtn_customer_churn].[Age_Group]" caption="Age_Group" attribute="1" defaultMemberUniqueName="[mtn_customer_churn].[Age_Group].[All]" allUniqueName="[mtn_customer_churn].[Age_Group].[All]" dimensionUniqueName="[mtn_customer_churn]" displayFolder="" count="0" memberValueDatatype="130" unbalanced="0" hidden="1"/>
    <cacheHierarchy uniqueName="[mtn_customer_churn].[Order_Date]" caption="Order_Date" attribute="1" time="1" defaultMemberUniqueName="[mtn_customer_churn].[Order_Date].[All]" allUniqueName="[mtn_customer_churn].[Order_Date].[All]" dimensionUniqueName="[mtn_customer_churn]" displayFolder="" count="0" memberValueDatatype="7" unbalanced="0" hidden="1"/>
    <cacheHierarchy uniqueName="[Measures].[Total Revenew]" caption="Total Revenew" measure="1" displayFolder="" measureGroup="Calculation" count="0" oneField="1">
      <fieldsUsage count="1">
        <fieldUsage x="2"/>
      </fieldsUsage>
    </cacheHierarchy>
    <cacheHierarchy uniqueName="[Measures].[Total Customers]" caption="Total Customers" measure="1" displayFolder="" measureGroup="Calculation" count="0"/>
    <cacheHierarchy uniqueName="[Measures].[Churned customer]" caption="Churned customer" measure="1" displayFolder="" measureGroup="Calculation" count="0"/>
    <cacheHierarchy uniqueName="[Measures].[Churn Rate]" caption="Churn Rate" measure="1" displayFolder="" measureGroup="Calculation" count="0"/>
    <cacheHierarchy uniqueName="[Measures].[Avg. Tenure (month)]" caption="Avg. Tenure (month)" measure="1" displayFolder="" measureGroup="Calculation" count="0"/>
    <cacheHierarchy uniqueName="[Measures].[Avg.Satisfaction Score]" caption="Avg.Satisfaction Score" measure="1" displayFolder="" measureGroup="Calculation" count="0"/>
    <cacheHierarchy uniqueName="[Measures].[product]" caption="product" measure="1" displayFolder="" measureGroup="Calculation" count="0"/>
    <cacheHierarchy uniqueName="[Measures].[Total Qty Sold]" caption="Total Qty Sold" measure="1" displayFolder="" measureGroup="Calculation" count="0"/>
    <cacheHierarchy uniqueName="[Measures].[Total Unit Sold]" caption="Total Unit Sold" measure="1" displayFolder="" measureGroup="Calculation" count="0"/>
    <cacheHierarchy uniqueName="[Measures].[Avg. Revenue per customer]" caption="Avg. Revenue per customer" measure="1" displayFolder="" measureGroup="mtn_customer_churn" count="0"/>
    <cacheHierarchy uniqueName="[Measures].[Avg. revenue per product]" caption="Avg. revenue per product" measure="1" displayFolder="" measureGroup="Calculation" count="0"/>
    <cacheHierarchy uniqueName="[Measures].[__XL_Count mtn_customer_churn]" caption="__XL_Count mtn_customer_churn" measure="1" displayFolder="" measureGroup="mtn_customer_churn" count="0" hidden="1"/>
    <cacheHierarchy uniqueName="[Measures].[__XL_Count Age-Group]" caption="__XL_Count Age-Group" measure="1" displayFolder="" measureGroup="Age-Group" count="0" hidden="1"/>
    <cacheHierarchy uniqueName="[Measures].[__XL_Count order date]" caption="__XL_Count order date" measure="1" displayFolder="" measureGroup="order date" count="0" hidden="1"/>
    <cacheHierarchy uniqueName="[Measures].[__XL_Count Calculation]" caption="__XL_Count Calculation" measure="1" displayFolder="" measureGroup="Calculation" count="0" hidden="1"/>
    <cacheHierarchy uniqueName="[Measures].[__No measures defined]" caption="__No measures defined" measure="1" displayFolder="" count="0" hidden="1"/>
    <cacheHierarchy uniqueName="[Measures].[Sum of Data Usage]" caption="Sum of Data Usage" measure="1" displayFolder="" measureGroup="mtn_customer_churn" count="0" hidden="1">
      <extLst>
        <ext xmlns:x15="http://schemas.microsoft.com/office/spreadsheetml/2010/11/main" uri="{B97F6D7D-B522-45F9-BDA1-12C45D357490}">
          <x15:cacheHierarchy aggregatedColumn="16"/>
        </ext>
      </extLst>
    </cacheHierarchy>
    <cacheHierarchy uniqueName="[Measures].[Sum of Quantity Sold]" caption="Sum of Quantity Sold" measure="1" displayFolder="" measureGroup="mtn_customer_churn" count="0" hidden="1">
      <extLst>
        <ext xmlns:x15="http://schemas.microsoft.com/office/spreadsheetml/2010/11/main" uri="{B97F6D7D-B522-45F9-BDA1-12C45D357490}">
          <x15:cacheHierarchy aggregatedColumn="14"/>
        </ext>
      </extLst>
    </cacheHierarchy>
    <cacheHierarchy uniqueName="[Measures].[Count of Customer Churn Status]" caption="Count of Customer Churn Status" measure="1" displayFolder="" measureGroup="mtn_customer_churn" count="0" hidden="1">
      <extLst>
        <ext xmlns:x15="http://schemas.microsoft.com/office/spreadsheetml/2010/11/main" uri="{B97F6D7D-B522-45F9-BDA1-12C45D357490}">
          <x15:cacheHierarchy aggregatedColumn="17"/>
        </ext>
      </extLst>
    </cacheHierarchy>
    <cacheHierarchy uniqueName="[Measures].[Sum of Days of the weeks]" caption="Sum of Days of the weeks" measure="1" displayFolder="" measureGroup="order date" count="0" hidden="1">
      <extLst>
        <ext xmlns:x15="http://schemas.microsoft.com/office/spreadsheetml/2010/11/main" uri="{B97F6D7D-B522-45F9-BDA1-12C45D357490}">
          <x15:cacheHierarchy aggregatedColumn="24"/>
        </ext>
      </extLst>
    </cacheHierarchy>
  </cacheHierarchies>
  <kpis count="0"/>
  <dimensions count="5">
    <dimension name="Age-Group" uniqueName="[Age-Group]" caption="Age-Group"/>
    <dimension name="Calculation" uniqueName="[Calculation]" caption="Calculation"/>
    <dimension measure="1" name="Measures" uniqueName="[Measures]" caption="Measures"/>
    <dimension name="mtn_customer_churn" uniqueName="[mtn_customer_churn]" caption="mtn_customer_churn"/>
    <dimension name="order date" uniqueName="[order date]" caption="order date"/>
  </dimensions>
  <measureGroups count="4">
    <measureGroup name="Age-Group" caption="Age-Group"/>
    <measureGroup name="Calculation" caption="Calculation"/>
    <measureGroup name="mtn_customer_churn" caption="mtn_customer_churn"/>
    <measureGroup name="order date" caption="order dat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mah" refreshedDate="46057.83857847222" backgroundQuery="1" createdVersion="8" refreshedVersion="8" minRefreshableVersion="3" recordCount="0" supportSubquery="1" supportAdvancedDrill="1" xr:uid="{3ED8F75F-0481-4D9D-AC95-C1DA9FB06BEA}">
  <cacheSource type="external" connectionId="5"/>
  <cacheFields count="4">
    <cacheField name="[mtn_customer_churn].[Subscription Plan].[Subscription Plan]" caption="Subscription Plan" numFmtId="0" hierarchy="12" level="1">
      <sharedItems count="10">
        <s v="10GB+10mins Monthly Plan"/>
        <s v="12.5GB Monthly Plan"/>
        <s v="120GB Monthly Broadband Plan"/>
        <s v="150GB FUP Monthly Unlimited"/>
        <s v="165GB Monthly Plan"/>
        <s v="25GB Monthly Plan"/>
        <s v="300GB FUP Monthly Unlimited"/>
        <s v="30GB Monthly Broadband Plan"/>
        <s v="60GB Monthly Broadband Plan"/>
        <s v="65GB Monthly Plan"/>
      </sharedItems>
    </cacheField>
    <cacheField name="[mtn_customer_churn].[Customer Churn Status].[Customer Churn Status]" caption="Customer Churn Status" numFmtId="0" hierarchy="17" level="1">
      <sharedItems count="2">
        <s v="Churn"/>
        <s v="Not Churn"/>
      </sharedItems>
    </cacheField>
    <cacheField name="[Measures].[Count of Customer Churn Status]" caption="Count of Customer Churn Status" numFmtId="0" hierarchy="48" level="32767"/>
    <cacheField name="[order date].[Months].[Months]" caption="Months" numFmtId="0" hierarchy="21" level="1">
      <sharedItems containsSemiMixedTypes="0" containsNonDate="0" containsString="0"/>
    </cacheField>
  </cacheFields>
  <cacheHierarchies count="50">
    <cacheHierarchy uniqueName="[Age-Group].[Age_Group]" caption="Age_Group" attribute="1" defaultMemberUniqueName="[Age-Group].[Age_Group].[All]" allUniqueName="[Age-Group].[Age_Group].[All]" dimensionUniqueName="[Age-Group]" displayFolder="" count="0" memberValueDatatype="130" unbalanced="0"/>
    <cacheHierarchy uniqueName="[Age-Group].[Age_num]" caption="Age_num" attribute="1" defaultMemberUniqueName="[Age-Group].[Age_num].[All]" allUniqueName="[Age-Group].[Age_num].[All]" dimensionUniqueName="[Age-Group]" displayFolder="" count="0" memberValueDatatype="130" unbalanced="0"/>
    <cacheHierarchy uniqueName="[Calculation].[Column1]" caption="Column1" attribute="1" defaultMemberUniqueName="[Calculation].[Column1].[All]" allUniqueName="[Calculation].[Column1].[All]" dimensionUniqueName="[Calculation]" displayFolder="" count="0" memberValueDatatype="130" unbalanced="0"/>
    <cacheHierarchy uniqueName="[mtn_customer_churn].[Customer ID]" caption="Customer ID" attribute="1" defaultMemberUniqueName="[mtn_customer_churn].[Customer ID].[All]" allUniqueName="[mtn_customer_churn].[Customer ID].[All]" dimensionUniqueName="[mtn_customer_churn]" displayFolder="" count="0" memberValueDatatype="130" unbalanced="0"/>
    <cacheHierarchy uniqueName="[mtn_customer_churn].[Full Name]" caption="Full Name" attribute="1" defaultMemberUniqueName="[mtn_customer_churn].[Full Name].[All]" allUniqueName="[mtn_customer_churn].[Full Name].[All]" dimensionUniqueName="[mtn_customer_churn]" displayFolder="" count="0" memberValueDatatype="130" unbalanced="0"/>
    <cacheHierarchy uniqueName="[mtn_customer_churn].[Age]" caption="Age" attribute="1" defaultMemberUniqueName="[mtn_customer_churn].[Age].[All]" allUniqueName="[mtn_customer_churn].[Age].[All]" dimensionUniqueName="[mtn_customer_churn]" displayFolder="" count="0" memberValueDatatype="20" unbalanced="0"/>
    <cacheHierarchy uniqueName="[mtn_customer_churn].[State]" caption="State" attribute="1" defaultMemberUniqueName="[mtn_customer_churn].[State].[All]" allUniqueName="[mtn_customer_churn].[State].[All]" dimensionUniqueName="[mtn_customer_churn]" displayFolder="" count="0" memberValueDatatype="130" unbalanced="0"/>
    <cacheHierarchy uniqueName="[mtn_customer_churn].[Product_Name]" caption="Product_Name" attribute="1" defaultMemberUniqueName="[mtn_customer_churn].[Product_Name].[All]" allUniqueName="[mtn_customer_churn].[Product_Name].[All]" dimensionUniqueName="[mtn_customer_churn]" displayFolder="" count="2" memberValueDatatype="130" unbalanced="0"/>
    <cacheHierarchy uniqueName="[mtn_customer_churn].[Gender]" caption="Gender" attribute="1" defaultMemberUniqueName="[mtn_customer_churn].[Gender].[All]" allUniqueName="[mtn_customer_churn].[Gender].[All]" dimensionUniqueName="[mtn_customer_churn]" displayFolder="" count="0" memberValueDatatype="130" unbalanced="0"/>
    <cacheHierarchy uniqueName="[mtn_customer_churn].[Satisfaction Rate]" caption="Satisfaction Rate" attribute="1" defaultMemberUniqueName="[mtn_customer_churn].[Satisfaction Rate].[All]" allUniqueName="[mtn_customer_churn].[Satisfaction Rate].[All]" dimensionUniqueName="[mtn_customer_churn]" displayFolder="" count="0" memberValueDatatype="20" unbalanced="0"/>
    <cacheHierarchy uniqueName="[mtn_customer_churn].[Customer Review]" caption="Customer Review" attribute="1" defaultMemberUniqueName="[mtn_customer_churn].[Customer Review].[All]" allUniqueName="[mtn_customer_churn].[Customer Review].[All]" dimensionUniqueName="[mtn_customer_churn]" displayFolder="" count="0" memberValueDatatype="130" unbalanced="0"/>
    <cacheHierarchy uniqueName="[mtn_customer_churn].[Customer Tenure in months]" caption="Customer Tenure in months" attribute="1" defaultMemberUniqueName="[mtn_customer_churn].[Customer Tenure in months].[All]" allUniqueName="[mtn_customer_churn].[Customer Tenure in months].[All]" dimensionUniqueName="[mtn_customer_churn]" displayFolder="" count="0" memberValueDatatype="20" unbalanced="0"/>
    <cacheHierarchy uniqueName="[mtn_customer_churn].[Subscription Plan]" caption="Subscription Plan" attribute="1" defaultMemberUniqueName="[mtn_customer_churn].[Subscription Plan].[All]" allUniqueName="[mtn_customer_churn].[Subscription Plan].[All]" dimensionUniqueName="[mtn_customer_churn]" displayFolder="" count="2" memberValueDatatype="130" unbalanced="0">
      <fieldsUsage count="2">
        <fieldUsage x="-1"/>
        <fieldUsage x="0"/>
      </fieldsUsage>
    </cacheHierarchy>
    <cacheHierarchy uniqueName="[mtn_customer_churn].[Unit Price]" caption="Unit Price" attribute="1" defaultMemberUniqueName="[mtn_customer_churn].[Unit Price].[All]" allUniqueName="[mtn_customer_churn].[Unit Price].[All]" dimensionUniqueName="[mtn_customer_churn]" displayFolder="" count="0" memberValueDatatype="5" unbalanced="0"/>
    <cacheHierarchy uniqueName="[mtn_customer_churn].[Quantity Sold]" caption="Quantity Sold" attribute="1" defaultMemberUniqueName="[mtn_customer_churn].[Quantity Sold].[All]" allUniqueName="[mtn_customer_churn].[Quantity Sold].[All]" dimensionUniqueName="[mtn_customer_churn]" displayFolder="" count="0" memberValueDatatype="20" unbalanced="0"/>
    <cacheHierarchy uniqueName="[mtn_customer_churn].[Total Revenue]" caption="Total Revenue" attribute="1" defaultMemberUniqueName="[mtn_customer_churn].[Total Revenue].[All]" allUniqueName="[mtn_customer_churn].[Total Revenue].[All]" dimensionUniqueName="[mtn_customer_churn]" displayFolder="" count="0" memberValueDatatype="5" unbalanced="0"/>
    <cacheHierarchy uniqueName="[mtn_customer_churn].[Data Usage]" caption="Data Usage" attribute="1" defaultMemberUniqueName="[mtn_customer_churn].[Data Usage].[All]" allUniqueName="[mtn_customer_churn].[Data Usage].[All]" dimensionUniqueName="[mtn_customer_churn]" displayFolder="" count="0" memberValueDatatype="5" unbalanced="0"/>
    <cacheHierarchy uniqueName="[mtn_customer_churn].[Customer Churn Status]" caption="Customer Churn Status" attribute="1" defaultMemberUniqueName="[mtn_customer_churn].[Customer Churn Status].[All]" allUniqueName="[mtn_customer_churn].[Customer Churn Status].[All]" dimensionUniqueName="[mtn_customer_churn]" displayFolder="" count="2" memberValueDatatype="130" unbalanced="0">
      <fieldsUsage count="2">
        <fieldUsage x="-1"/>
        <fieldUsage x="1"/>
      </fieldsUsage>
    </cacheHierarchy>
    <cacheHierarchy uniqueName="[mtn_customer_churn].[Reasons for Churn]" caption="Reasons for Churn" attribute="1" defaultMemberUniqueName="[mtn_customer_churn].[Reasons for Churn].[All]" allUniqueName="[mtn_customer_churn].[Reasons for Churn].[All]" dimensionUniqueName="[mtn_customer_churn]" displayFolder="" count="0" memberValueDatatype="130" unbalanced="0"/>
    <cacheHierarchy uniqueName="[order date].[Order_date]" caption="Order_date" attribute="1" time="1" defaultMemberUniqueName="[order date].[Order_date].[All]" allUniqueName="[order date].[Order_date].[All]" dimensionUniqueName="[order date]" displayFolder="" count="0" memberValueDatatype="7" unbalanced="0"/>
    <cacheHierarchy uniqueName="[order date].[years]" caption="years" attribute="1" defaultMemberUniqueName="[order date].[years].[All]" allUniqueName="[order date].[years].[All]" dimensionUniqueName="[order date]" displayFolder="" count="2" memberValueDatatype="20" unbalanced="0"/>
    <cacheHierarchy uniqueName="[order date].[Months]" caption="Months" attribute="1" defaultMemberUniqueName="[order date].[Months].[All]" allUniqueName="[order date].[Months].[All]" dimensionUniqueName="[order date]" displayFolder="" count="2" memberValueDatatype="130" unbalanced="0">
      <fieldsUsage count="2">
        <fieldUsage x="-1"/>
        <fieldUsage x="3"/>
      </fieldsUsage>
    </cacheHierarchy>
    <cacheHierarchy uniqueName="[order date].[Months Num]" caption="Months Num" attribute="1" defaultMemberUniqueName="[order date].[Months Num].[All]" allUniqueName="[order date].[Months Num].[All]" dimensionUniqueName="[order date]" displayFolder="" count="0" memberValueDatatype="20" unbalanced="0"/>
    <cacheHierarchy uniqueName="[order date].[Weekdays]" caption="Weekdays" attribute="1" defaultMemberUniqueName="[order date].[Weekdays].[All]" allUniqueName="[order date].[Weekdays].[All]" dimensionUniqueName="[order date]" displayFolder="" count="0" memberValueDatatype="130" unbalanced="0"/>
    <cacheHierarchy uniqueName="[order date].[Days of the weeks]" caption="Days of the weeks" attribute="1" defaultMemberUniqueName="[order date].[Days of the weeks].[All]" allUniqueName="[order date].[Days of the weeks].[All]" dimensionUniqueName="[order date]" displayFolder="" count="0" memberValueDatatype="20" unbalanced="0"/>
    <cacheHierarchy uniqueName="[order date].[Weektype]" caption="Weektype" attribute="1" defaultMemberUniqueName="[order date].[Weektype].[All]" allUniqueName="[order date].[Weektype].[All]" dimensionUniqueName="[order date]" displayFolder="" count="0" memberValueDatatype="130" unbalanced="0"/>
    <cacheHierarchy uniqueName="[order date].[Quarter]" caption="Quarter" attribute="1" defaultMemberUniqueName="[order date].[Quarter].[All]" allUniqueName="[order date].[Quarter].[All]" dimensionUniqueName="[order date]" displayFolder="" count="0" memberValueDatatype="130" unbalanced="0"/>
    <cacheHierarchy uniqueName="[order date].[Week_Type]" caption="Week_Type" attribute="1" defaultMemberUniqueName="[order date].[Week_Type].[All]" allUniqueName="[order date].[Week_Type].[All]" dimensionUniqueName="[order date]" displayFolder="" count="0" memberValueDatatype="130" unbalanced="0"/>
    <cacheHierarchy uniqueName="[mtn_customer_churn].[Age_Group]" caption="Age_Group" attribute="1" defaultMemberUniqueName="[mtn_customer_churn].[Age_Group].[All]" allUniqueName="[mtn_customer_churn].[Age_Group].[All]" dimensionUniqueName="[mtn_customer_churn]" displayFolder="" count="0" memberValueDatatype="130" unbalanced="0" hidden="1"/>
    <cacheHierarchy uniqueName="[mtn_customer_churn].[Order_Date]" caption="Order_Date" attribute="1" time="1" defaultMemberUniqueName="[mtn_customer_churn].[Order_Date].[All]" allUniqueName="[mtn_customer_churn].[Order_Date].[All]" dimensionUniqueName="[mtn_customer_churn]" displayFolder="" count="0" memberValueDatatype="7" unbalanced="0" hidden="1"/>
    <cacheHierarchy uniqueName="[Measures].[Total Revenew]" caption="Total Revenew" measure="1" displayFolder="" measureGroup="Calculation" count="0"/>
    <cacheHierarchy uniqueName="[Measures].[Total Customers]" caption="Total Customers" measure="1" displayFolder="" measureGroup="Calculation" count="0"/>
    <cacheHierarchy uniqueName="[Measures].[Churned customer]" caption="Churned customer" measure="1" displayFolder="" measureGroup="Calculation" count="0"/>
    <cacheHierarchy uniqueName="[Measures].[Churn Rate]" caption="Churn Rate" measure="1" displayFolder="" measureGroup="Calculation" count="0"/>
    <cacheHierarchy uniqueName="[Measures].[Avg. Tenure (month)]" caption="Avg. Tenure (month)" measure="1" displayFolder="" measureGroup="Calculation" count="0"/>
    <cacheHierarchy uniqueName="[Measures].[Avg.Satisfaction Score]" caption="Avg.Satisfaction Score" measure="1" displayFolder="" measureGroup="Calculation" count="0"/>
    <cacheHierarchy uniqueName="[Measures].[product]" caption="product" measure="1" displayFolder="" measureGroup="Calculation" count="0"/>
    <cacheHierarchy uniqueName="[Measures].[Total Qty Sold]" caption="Total Qty Sold" measure="1" displayFolder="" measureGroup="Calculation" count="0"/>
    <cacheHierarchy uniqueName="[Measures].[Total Unit Sold]" caption="Total Unit Sold" measure="1" displayFolder="" measureGroup="Calculation" count="0"/>
    <cacheHierarchy uniqueName="[Measures].[Avg. Revenue per customer]" caption="Avg. Revenue per customer" measure="1" displayFolder="" measureGroup="mtn_customer_churn" count="0"/>
    <cacheHierarchy uniqueName="[Measures].[Avg. revenue per product]" caption="Avg. revenue per product" measure="1" displayFolder="" measureGroup="Calculation" count="0"/>
    <cacheHierarchy uniqueName="[Measures].[__XL_Count mtn_customer_churn]" caption="__XL_Count mtn_customer_churn" measure="1" displayFolder="" measureGroup="mtn_customer_churn" count="0" hidden="1"/>
    <cacheHierarchy uniqueName="[Measures].[__XL_Count Age-Group]" caption="__XL_Count Age-Group" measure="1" displayFolder="" measureGroup="Age-Group" count="0" hidden="1"/>
    <cacheHierarchy uniqueName="[Measures].[__XL_Count order date]" caption="__XL_Count order date" measure="1" displayFolder="" measureGroup="order date" count="0" hidden="1"/>
    <cacheHierarchy uniqueName="[Measures].[__XL_Count Calculation]" caption="__XL_Count Calculation" measure="1" displayFolder="" measureGroup="Calculation" count="0" hidden="1"/>
    <cacheHierarchy uniqueName="[Measures].[__No measures defined]" caption="__No measures defined" measure="1" displayFolder="" count="0" hidden="1"/>
    <cacheHierarchy uniqueName="[Measures].[Sum of Data Usage]" caption="Sum of Data Usage" measure="1" displayFolder="" measureGroup="mtn_customer_churn" count="0" hidden="1">
      <extLst>
        <ext xmlns:x15="http://schemas.microsoft.com/office/spreadsheetml/2010/11/main" uri="{B97F6D7D-B522-45F9-BDA1-12C45D357490}">
          <x15:cacheHierarchy aggregatedColumn="16"/>
        </ext>
      </extLst>
    </cacheHierarchy>
    <cacheHierarchy uniqueName="[Measures].[Sum of Quantity Sold]" caption="Sum of Quantity Sold" measure="1" displayFolder="" measureGroup="mtn_customer_churn" count="0" hidden="1">
      <extLst>
        <ext xmlns:x15="http://schemas.microsoft.com/office/spreadsheetml/2010/11/main" uri="{B97F6D7D-B522-45F9-BDA1-12C45D357490}">
          <x15:cacheHierarchy aggregatedColumn="14"/>
        </ext>
      </extLst>
    </cacheHierarchy>
    <cacheHierarchy uniqueName="[Measures].[Count of Customer Churn Status]" caption="Count of Customer Churn Status" measure="1" displayFolder="" measureGroup="mtn_customer_churn"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Days of the weeks]" caption="Sum of Days of the weeks" measure="1" displayFolder="" measureGroup="order date" count="0" hidden="1">
      <extLst>
        <ext xmlns:x15="http://schemas.microsoft.com/office/spreadsheetml/2010/11/main" uri="{B97F6D7D-B522-45F9-BDA1-12C45D357490}">
          <x15:cacheHierarchy aggregatedColumn="24"/>
        </ext>
      </extLst>
    </cacheHierarchy>
  </cacheHierarchies>
  <kpis count="0"/>
  <dimensions count="5">
    <dimension name="Age-Group" uniqueName="[Age-Group]" caption="Age-Group"/>
    <dimension name="Calculation" uniqueName="[Calculation]" caption="Calculation"/>
    <dimension measure="1" name="Measures" uniqueName="[Measures]" caption="Measures"/>
    <dimension name="mtn_customer_churn" uniqueName="[mtn_customer_churn]" caption="mtn_customer_churn"/>
    <dimension name="order date" uniqueName="[order date]" caption="order date"/>
  </dimensions>
  <measureGroups count="4">
    <measureGroup name="Age-Group" caption="Age-Group"/>
    <measureGroup name="Calculation" caption="Calculation"/>
    <measureGroup name="mtn_customer_churn" caption="mtn_customer_churn"/>
    <measureGroup name="order date" caption="order dat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mah" refreshedDate="46057.838579513889" backgroundQuery="1" createdVersion="8" refreshedVersion="8" minRefreshableVersion="3" recordCount="0" supportSubquery="1" supportAdvancedDrill="1" xr:uid="{EEB525AD-B552-4E59-AD17-B44D73165D04}">
  <cacheSource type="external" connectionId="5"/>
  <cacheFields count="5">
    <cacheField name="[mtn_customer_churn].[Subscription Plan].[Subscription Plan]" caption="Subscription Plan" numFmtId="0" hierarchy="12" level="1">
      <sharedItems count="10">
        <s v="10GB+10mins Monthly Plan"/>
        <s v="12.5GB Monthly Plan"/>
        <s v="120GB Monthly Broadband Plan"/>
        <s v="150GB FUP Monthly Unlimited"/>
        <s v="165GB Monthly Plan"/>
        <s v="25GB Monthly Plan"/>
        <s v="300GB FUP Monthly Unlimited"/>
        <s v="30GB Monthly Broadband Plan"/>
        <s v="60GB Monthly Broadband Plan"/>
        <s v="65GB Monthly Plan"/>
      </sharedItems>
    </cacheField>
    <cacheField name="[Measures].[Total Revenew]" caption="Total Revenew" numFmtId="0" hierarchy="30" level="32767"/>
    <cacheField name="[mtn_customer_churn].[State].[State]" caption="State" numFmtId="0" hierarchy="6" level="1">
      <sharedItems count="5">
        <s v="Edo"/>
        <s v="Ekiti"/>
        <s v="Oyo"/>
        <s v="Plateau"/>
        <s v="Yobe"/>
      </sharedItems>
    </cacheField>
    <cacheField name="[mtn_customer_churn].[Full Name].[Full Name]" caption="Full Name" numFmtId="0" hierarchy="4" level="1">
      <sharedItems count="10">
        <s v="Alabo Turner"/>
        <s v="Amina Johns"/>
        <s v="Chinedu Brown"/>
        <s v="Halima Martin"/>
        <s v="Kunle Myers"/>
        <s v="Boma Gonzalez" u="1"/>
        <s v="Kunle Goodwin" u="1"/>
        <s v="Nura Rodriguez" u="1"/>
        <s v="Tega Turner" u="1"/>
        <s v="Zina Diaz" u="1"/>
      </sharedItems>
    </cacheField>
    <cacheField name="[order date].[Months].[Months]" caption="Months" numFmtId="0" hierarchy="21" level="1">
      <sharedItems containsSemiMixedTypes="0" containsNonDate="0" containsString="0"/>
    </cacheField>
  </cacheFields>
  <cacheHierarchies count="50">
    <cacheHierarchy uniqueName="[Age-Group].[Age_Group]" caption="Age_Group" attribute="1" defaultMemberUniqueName="[Age-Group].[Age_Group].[All]" allUniqueName="[Age-Group].[Age_Group].[All]" dimensionUniqueName="[Age-Group]" displayFolder="" count="2" memberValueDatatype="130" unbalanced="0"/>
    <cacheHierarchy uniqueName="[Age-Group].[Age_num]" caption="Age_num" attribute="1" defaultMemberUniqueName="[Age-Group].[Age_num].[All]" allUniqueName="[Age-Group].[Age_num].[All]" dimensionUniqueName="[Age-Group]" displayFolder="" count="0" memberValueDatatype="130" unbalanced="0"/>
    <cacheHierarchy uniqueName="[Calculation].[Column1]" caption="Column1" attribute="1" defaultMemberUniqueName="[Calculation].[Column1].[All]" allUniqueName="[Calculation].[Column1].[All]" dimensionUniqueName="[Calculation]" displayFolder="" count="0" memberValueDatatype="130" unbalanced="0"/>
    <cacheHierarchy uniqueName="[mtn_customer_churn].[Customer ID]" caption="Customer ID" attribute="1" defaultMemberUniqueName="[mtn_customer_churn].[Customer ID].[All]" allUniqueName="[mtn_customer_churn].[Customer ID].[All]" dimensionUniqueName="[mtn_customer_churn]" displayFolder="" count="0" memberValueDatatype="130" unbalanced="0"/>
    <cacheHierarchy uniqueName="[mtn_customer_churn].[Full Name]" caption="Full Name" attribute="1" defaultMemberUniqueName="[mtn_customer_churn].[Full Name].[All]" allUniqueName="[mtn_customer_churn].[Full Name].[All]" dimensionUniqueName="[mtn_customer_churn]" displayFolder="" count="2" memberValueDatatype="130" unbalanced="0">
      <fieldsUsage count="2">
        <fieldUsage x="-1"/>
        <fieldUsage x="3"/>
      </fieldsUsage>
    </cacheHierarchy>
    <cacheHierarchy uniqueName="[mtn_customer_churn].[Age]" caption="Age" attribute="1" defaultMemberUniqueName="[mtn_customer_churn].[Age].[All]" allUniqueName="[mtn_customer_churn].[Age].[All]" dimensionUniqueName="[mtn_customer_churn]" displayFolder="" count="0" memberValueDatatype="20" unbalanced="0"/>
    <cacheHierarchy uniqueName="[mtn_customer_churn].[State]" caption="State" attribute="1" defaultMemberUniqueName="[mtn_customer_churn].[State].[All]" allUniqueName="[mtn_customer_churn].[State].[All]" dimensionUniqueName="[mtn_customer_churn]" displayFolder="" count="2" memberValueDatatype="130" unbalanced="0">
      <fieldsUsage count="2">
        <fieldUsage x="-1"/>
        <fieldUsage x="2"/>
      </fieldsUsage>
    </cacheHierarchy>
    <cacheHierarchy uniqueName="[mtn_customer_churn].[Product_Name]" caption="Product_Name" attribute="1" defaultMemberUniqueName="[mtn_customer_churn].[Product_Name].[All]" allUniqueName="[mtn_customer_churn].[Product_Name].[All]" dimensionUniqueName="[mtn_customer_churn]" displayFolder="" count="2" memberValueDatatype="130" unbalanced="0"/>
    <cacheHierarchy uniqueName="[mtn_customer_churn].[Gender]" caption="Gender" attribute="1" defaultMemberUniqueName="[mtn_customer_churn].[Gender].[All]" allUniqueName="[mtn_customer_churn].[Gender].[All]" dimensionUniqueName="[mtn_customer_churn]" displayFolder="" count="0" memberValueDatatype="130" unbalanced="0"/>
    <cacheHierarchy uniqueName="[mtn_customer_churn].[Satisfaction Rate]" caption="Satisfaction Rate" attribute="1" defaultMemberUniqueName="[mtn_customer_churn].[Satisfaction Rate].[All]" allUniqueName="[mtn_customer_churn].[Satisfaction Rate].[All]" dimensionUniqueName="[mtn_customer_churn]" displayFolder="" count="0" memberValueDatatype="20" unbalanced="0"/>
    <cacheHierarchy uniqueName="[mtn_customer_churn].[Customer Review]" caption="Customer Review" attribute="1" defaultMemberUniqueName="[mtn_customer_churn].[Customer Review].[All]" allUniqueName="[mtn_customer_churn].[Customer Review].[All]" dimensionUniqueName="[mtn_customer_churn]" displayFolder="" count="0" memberValueDatatype="130" unbalanced="0"/>
    <cacheHierarchy uniqueName="[mtn_customer_churn].[Customer Tenure in months]" caption="Customer Tenure in months" attribute="1" defaultMemberUniqueName="[mtn_customer_churn].[Customer Tenure in months].[All]" allUniqueName="[mtn_customer_churn].[Customer Tenure in months].[All]" dimensionUniqueName="[mtn_customer_churn]" displayFolder="" count="0" memberValueDatatype="20" unbalanced="0"/>
    <cacheHierarchy uniqueName="[mtn_customer_churn].[Subscription Plan]" caption="Subscription Plan" attribute="1" defaultMemberUniqueName="[mtn_customer_churn].[Subscription Plan].[All]" allUniqueName="[mtn_customer_churn].[Subscription Plan].[All]" dimensionUniqueName="[mtn_customer_churn]" displayFolder="" count="2" memberValueDatatype="130" unbalanced="0">
      <fieldsUsage count="2">
        <fieldUsage x="-1"/>
        <fieldUsage x="0"/>
      </fieldsUsage>
    </cacheHierarchy>
    <cacheHierarchy uniqueName="[mtn_customer_churn].[Unit Price]" caption="Unit Price" attribute="1" defaultMemberUniqueName="[mtn_customer_churn].[Unit Price].[All]" allUniqueName="[mtn_customer_churn].[Unit Price].[All]" dimensionUniqueName="[mtn_customer_churn]" displayFolder="" count="0" memberValueDatatype="5" unbalanced="0"/>
    <cacheHierarchy uniqueName="[mtn_customer_churn].[Quantity Sold]" caption="Quantity Sold" attribute="1" defaultMemberUniqueName="[mtn_customer_churn].[Quantity Sold].[All]" allUniqueName="[mtn_customer_churn].[Quantity Sold].[All]" dimensionUniqueName="[mtn_customer_churn]" displayFolder="" count="0" memberValueDatatype="20" unbalanced="0"/>
    <cacheHierarchy uniqueName="[mtn_customer_churn].[Total Revenue]" caption="Total Revenue" attribute="1" defaultMemberUniqueName="[mtn_customer_churn].[Total Revenue].[All]" allUniqueName="[mtn_customer_churn].[Total Revenue].[All]" dimensionUniqueName="[mtn_customer_churn]" displayFolder="" count="0" memberValueDatatype="5" unbalanced="0"/>
    <cacheHierarchy uniqueName="[mtn_customer_churn].[Data Usage]" caption="Data Usage" attribute="1" defaultMemberUniqueName="[mtn_customer_churn].[Data Usage].[All]" allUniqueName="[mtn_customer_churn].[Data Usage].[All]" dimensionUniqueName="[mtn_customer_churn]" displayFolder="" count="0" memberValueDatatype="5" unbalanced="0"/>
    <cacheHierarchy uniqueName="[mtn_customer_churn].[Customer Churn Status]" caption="Customer Churn Status" attribute="1" defaultMemberUniqueName="[mtn_customer_churn].[Customer Churn Status].[All]" allUniqueName="[mtn_customer_churn].[Customer Churn Status].[All]" dimensionUniqueName="[mtn_customer_churn]" displayFolder="" count="0" memberValueDatatype="130" unbalanced="0"/>
    <cacheHierarchy uniqueName="[mtn_customer_churn].[Reasons for Churn]" caption="Reasons for Churn" attribute="1" defaultMemberUniqueName="[mtn_customer_churn].[Reasons for Churn].[All]" allUniqueName="[mtn_customer_churn].[Reasons for Churn].[All]" dimensionUniqueName="[mtn_customer_churn]" displayFolder="" count="0" memberValueDatatype="130" unbalanced="0"/>
    <cacheHierarchy uniqueName="[order date].[Order_date]" caption="Order_date" attribute="1" time="1" defaultMemberUniqueName="[order date].[Order_date].[All]" allUniqueName="[order date].[Order_date].[All]" dimensionUniqueName="[order date]" displayFolder="" count="0" memberValueDatatype="7" unbalanced="0"/>
    <cacheHierarchy uniqueName="[order date].[years]" caption="years" attribute="1" defaultMemberUniqueName="[order date].[years].[All]" allUniqueName="[order date].[years].[All]" dimensionUniqueName="[order date]" displayFolder="" count="2" memberValueDatatype="20" unbalanced="0"/>
    <cacheHierarchy uniqueName="[order date].[Months]" caption="Months" attribute="1" defaultMemberUniqueName="[order date].[Months].[All]" allUniqueName="[order date].[Months].[All]" dimensionUniqueName="[order date]" displayFolder="" count="2" memberValueDatatype="130" unbalanced="0">
      <fieldsUsage count="2">
        <fieldUsage x="-1"/>
        <fieldUsage x="4"/>
      </fieldsUsage>
    </cacheHierarchy>
    <cacheHierarchy uniqueName="[order date].[Months Num]" caption="Months Num" attribute="1" defaultMemberUniqueName="[order date].[Months Num].[All]" allUniqueName="[order date].[Months Num].[All]" dimensionUniqueName="[order date]" displayFolder="" count="0" memberValueDatatype="20" unbalanced="0"/>
    <cacheHierarchy uniqueName="[order date].[Weekdays]" caption="Weekdays" attribute="1" defaultMemberUniqueName="[order date].[Weekdays].[All]" allUniqueName="[order date].[Weekdays].[All]" dimensionUniqueName="[order date]" displayFolder="" count="0" memberValueDatatype="130" unbalanced="0"/>
    <cacheHierarchy uniqueName="[order date].[Days of the weeks]" caption="Days of the weeks" attribute="1" defaultMemberUniqueName="[order date].[Days of the weeks].[All]" allUniqueName="[order date].[Days of the weeks].[All]" dimensionUniqueName="[order date]" displayFolder="" count="0" memberValueDatatype="20" unbalanced="0"/>
    <cacheHierarchy uniqueName="[order date].[Weektype]" caption="Weektype" attribute="1" defaultMemberUniqueName="[order date].[Weektype].[All]" allUniqueName="[order date].[Weektype].[All]" dimensionUniqueName="[order date]" displayFolder="" count="0" memberValueDatatype="130" unbalanced="0"/>
    <cacheHierarchy uniqueName="[order date].[Quarter]" caption="Quarter" attribute="1" defaultMemberUniqueName="[order date].[Quarter].[All]" allUniqueName="[order date].[Quarter].[All]" dimensionUniqueName="[order date]" displayFolder="" count="0" memberValueDatatype="130" unbalanced="0"/>
    <cacheHierarchy uniqueName="[order date].[Week_Type]" caption="Week_Type" attribute="1" defaultMemberUniqueName="[order date].[Week_Type].[All]" allUniqueName="[order date].[Week_Type].[All]" dimensionUniqueName="[order date]" displayFolder="" count="0" memberValueDatatype="130" unbalanced="0"/>
    <cacheHierarchy uniqueName="[mtn_customer_churn].[Age_Group]" caption="Age_Group" attribute="1" defaultMemberUniqueName="[mtn_customer_churn].[Age_Group].[All]" allUniqueName="[mtn_customer_churn].[Age_Group].[All]" dimensionUniqueName="[mtn_customer_churn]" displayFolder="" count="0" memberValueDatatype="130" unbalanced="0" hidden="1"/>
    <cacheHierarchy uniqueName="[mtn_customer_churn].[Order_Date]" caption="Order_Date" attribute="1" time="1" defaultMemberUniqueName="[mtn_customer_churn].[Order_Date].[All]" allUniqueName="[mtn_customer_churn].[Order_Date].[All]" dimensionUniqueName="[mtn_customer_churn]" displayFolder="" count="0" memberValueDatatype="7" unbalanced="0" hidden="1"/>
    <cacheHierarchy uniqueName="[Measures].[Total Revenew]" caption="Total Revenew" measure="1" displayFolder="" measureGroup="Calculation" count="0" oneField="1">
      <fieldsUsage count="1">
        <fieldUsage x="1"/>
      </fieldsUsage>
    </cacheHierarchy>
    <cacheHierarchy uniqueName="[Measures].[Total Customers]" caption="Total Customers" measure="1" displayFolder="" measureGroup="Calculation" count="0"/>
    <cacheHierarchy uniqueName="[Measures].[Churned customer]" caption="Churned customer" measure="1" displayFolder="" measureGroup="Calculation" count="0"/>
    <cacheHierarchy uniqueName="[Measures].[Churn Rate]" caption="Churn Rate" measure="1" displayFolder="" measureGroup="Calculation" count="0"/>
    <cacheHierarchy uniqueName="[Measures].[Avg. Tenure (month)]" caption="Avg. Tenure (month)" measure="1" displayFolder="" measureGroup="Calculation" count="0"/>
    <cacheHierarchy uniqueName="[Measures].[Avg.Satisfaction Score]" caption="Avg.Satisfaction Score" measure="1" displayFolder="" measureGroup="Calculation" count="0"/>
    <cacheHierarchy uniqueName="[Measures].[product]" caption="product" measure="1" displayFolder="" measureGroup="Calculation" count="0"/>
    <cacheHierarchy uniqueName="[Measures].[Total Qty Sold]" caption="Total Qty Sold" measure="1" displayFolder="" measureGroup="Calculation" count="0"/>
    <cacheHierarchy uniqueName="[Measures].[Total Unit Sold]" caption="Total Unit Sold" measure="1" displayFolder="" measureGroup="Calculation" count="0"/>
    <cacheHierarchy uniqueName="[Measures].[Avg. Revenue per customer]" caption="Avg. Revenue per customer" measure="1" displayFolder="" measureGroup="mtn_customer_churn" count="0"/>
    <cacheHierarchy uniqueName="[Measures].[Avg. revenue per product]" caption="Avg. revenue per product" measure="1" displayFolder="" measureGroup="Calculation" count="0"/>
    <cacheHierarchy uniqueName="[Measures].[__XL_Count mtn_customer_churn]" caption="__XL_Count mtn_customer_churn" measure="1" displayFolder="" measureGroup="mtn_customer_churn" count="0" hidden="1"/>
    <cacheHierarchy uniqueName="[Measures].[__XL_Count Age-Group]" caption="__XL_Count Age-Group" measure="1" displayFolder="" measureGroup="Age-Group" count="0" hidden="1"/>
    <cacheHierarchy uniqueName="[Measures].[__XL_Count order date]" caption="__XL_Count order date" measure="1" displayFolder="" measureGroup="order date" count="0" hidden="1"/>
    <cacheHierarchy uniqueName="[Measures].[__XL_Count Calculation]" caption="__XL_Count Calculation" measure="1" displayFolder="" measureGroup="Calculation" count="0" hidden="1"/>
    <cacheHierarchy uniqueName="[Measures].[__No measures defined]" caption="__No measures defined" measure="1" displayFolder="" count="0" hidden="1"/>
    <cacheHierarchy uniqueName="[Measures].[Sum of Data Usage]" caption="Sum of Data Usage" measure="1" displayFolder="" measureGroup="mtn_customer_churn" count="0" hidden="1">
      <extLst>
        <ext xmlns:x15="http://schemas.microsoft.com/office/spreadsheetml/2010/11/main" uri="{B97F6D7D-B522-45F9-BDA1-12C45D357490}">
          <x15:cacheHierarchy aggregatedColumn="16"/>
        </ext>
      </extLst>
    </cacheHierarchy>
    <cacheHierarchy uniqueName="[Measures].[Sum of Quantity Sold]" caption="Sum of Quantity Sold" measure="1" displayFolder="" measureGroup="mtn_customer_churn" count="0" hidden="1">
      <extLst>
        <ext xmlns:x15="http://schemas.microsoft.com/office/spreadsheetml/2010/11/main" uri="{B97F6D7D-B522-45F9-BDA1-12C45D357490}">
          <x15:cacheHierarchy aggregatedColumn="14"/>
        </ext>
      </extLst>
    </cacheHierarchy>
    <cacheHierarchy uniqueName="[Measures].[Count of Customer Churn Status]" caption="Count of Customer Churn Status" measure="1" displayFolder="" measureGroup="mtn_customer_churn" count="0" hidden="1">
      <extLst>
        <ext xmlns:x15="http://schemas.microsoft.com/office/spreadsheetml/2010/11/main" uri="{B97F6D7D-B522-45F9-BDA1-12C45D357490}">
          <x15:cacheHierarchy aggregatedColumn="17"/>
        </ext>
      </extLst>
    </cacheHierarchy>
    <cacheHierarchy uniqueName="[Measures].[Sum of Days of the weeks]" caption="Sum of Days of the weeks" measure="1" displayFolder="" measureGroup="order date" count="0" hidden="1">
      <extLst>
        <ext xmlns:x15="http://schemas.microsoft.com/office/spreadsheetml/2010/11/main" uri="{B97F6D7D-B522-45F9-BDA1-12C45D357490}">
          <x15:cacheHierarchy aggregatedColumn="24"/>
        </ext>
      </extLst>
    </cacheHierarchy>
  </cacheHierarchies>
  <kpis count="0"/>
  <dimensions count="5">
    <dimension name="Age-Group" uniqueName="[Age-Group]" caption="Age-Group"/>
    <dimension name="Calculation" uniqueName="[Calculation]" caption="Calculation"/>
    <dimension measure="1" name="Measures" uniqueName="[Measures]" caption="Measures"/>
    <dimension name="mtn_customer_churn" uniqueName="[mtn_customer_churn]" caption="mtn_customer_churn"/>
    <dimension name="order date" uniqueName="[order date]" caption="order date"/>
  </dimensions>
  <measureGroups count="4">
    <measureGroup name="Age-Group" caption="Age-Group"/>
    <measureGroup name="Calculation" caption="Calculation"/>
    <measureGroup name="mtn_customer_churn" caption="mtn_customer_churn"/>
    <measureGroup name="order date" caption="order dat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mah" refreshedDate="46057.838580208336" backgroundQuery="1" createdVersion="8" refreshedVersion="8" minRefreshableVersion="3" recordCount="0" supportSubquery="1" supportAdvancedDrill="1" xr:uid="{77D74714-B812-44F8-8EB7-C309B21CCF45}">
  <cacheSource type="external" connectionId="5"/>
  <cacheFields count="6">
    <cacheField name="[mtn_customer_churn].[Subscription Plan].[Subscription Plan]" caption="Subscription Plan" numFmtId="0" hierarchy="12" level="1">
      <sharedItems count="10">
        <s v="10GB+10mins Monthly Plan"/>
        <s v="12.5GB Monthly Plan"/>
        <s v="120GB Monthly Broadband Plan"/>
        <s v="150GB FUP Monthly Unlimited"/>
        <s v="165GB Monthly Plan"/>
        <s v="25GB Monthly Plan"/>
        <s v="300GB FUP Monthly Unlimited"/>
        <s v="30GB Monthly Broadband Plan"/>
        <s v="60GB Monthly Broadband Plan"/>
        <s v="65GB Monthly Plan"/>
      </sharedItems>
    </cacheField>
    <cacheField name="[Measures].[Total Revenew]" caption="Total Revenew" numFmtId="0" hierarchy="30" level="32767"/>
    <cacheField name="[mtn_customer_churn].[State].[State]" caption="State" numFmtId="0" hierarchy="6" level="1">
      <sharedItems count="5">
        <s v="Edo"/>
        <s v="Ekiti"/>
        <s v="Oyo"/>
        <s v="Plateau"/>
        <s v="Yobe"/>
      </sharedItems>
    </cacheField>
    <cacheField name="[mtn_customer_churn].[Full Name].[Full Name]" caption="Full Name" numFmtId="0" hierarchy="4" level="1">
      <sharedItems count="5">
        <s v="Alabo Turner"/>
        <s v="Amina Johns"/>
        <s v="Chinedu Brown"/>
        <s v="Halima Martin"/>
        <s v="Kunle Myers"/>
      </sharedItems>
    </cacheField>
    <cacheField name="[mtn_customer_churn].[Gender].[Gender]" caption="Gender" numFmtId="0" hierarchy="8" level="1">
      <sharedItems count="2">
        <s v="Female"/>
        <s v="Male"/>
      </sharedItems>
    </cacheField>
    <cacheField name="[order date].[Months].[Months]" caption="Months" numFmtId="0" hierarchy="21" level="1">
      <sharedItems containsSemiMixedTypes="0" containsNonDate="0" containsString="0"/>
    </cacheField>
  </cacheFields>
  <cacheHierarchies count="50">
    <cacheHierarchy uniqueName="[Age-Group].[Age_Group]" caption="Age_Group" attribute="1" defaultMemberUniqueName="[Age-Group].[Age_Group].[All]" allUniqueName="[Age-Group].[Age_Group].[All]" dimensionUniqueName="[Age-Group]" displayFolder="" count="2" memberValueDatatype="130" unbalanced="0"/>
    <cacheHierarchy uniqueName="[Age-Group].[Age_num]" caption="Age_num" attribute="1" defaultMemberUniqueName="[Age-Group].[Age_num].[All]" allUniqueName="[Age-Group].[Age_num].[All]" dimensionUniqueName="[Age-Group]" displayFolder="" count="0" memberValueDatatype="130" unbalanced="0"/>
    <cacheHierarchy uniqueName="[Calculation].[Column1]" caption="Column1" attribute="1" defaultMemberUniqueName="[Calculation].[Column1].[All]" allUniqueName="[Calculation].[Column1].[All]" dimensionUniqueName="[Calculation]" displayFolder="" count="0" memberValueDatatype="130" unbalanced="0"/>
    <cacheHierarchy uniqueName="[mtn_customer_churn].[Customer ID]" caption="Customer ID" attribute="1" defaultMemberUniqueName="[mtn_customer_churn].[Customer ID].[All]" allUniqueName="[mtn_customer_churn].[Customer ID].[All]" dimensionUniqueName="[mtn_customer_churn]" displayFolder="" count="0" memberValueDatatype="130" unbalanced="0"/>
    <cacheHierarchy uniqueName="[mtn_customer_churn].[Full Name]" caption="Full Name" attribute="1" defaultMemberUniqueName="[mtn_customer_churn].[Full Name].[All]" allUniqueName="[mtn_customer_churn].[Full Name].[All]" dimensionUniqueName="[mtn_customer_churn]" displayFolder="" count="2" memberValueDatatype="130" unbalanced="0">
      <fieldsUsage count="2">
        <fieldUsage x="-1"/>
        <fieldUsage x="3"/>
      </fieldsUsage>
    </cacheHierarchy>
    <cacheHierarchy uniqueName="[mtn_customer_churn].[Age]" caption="Age" attribute="1" defaultMemberUniqueName="[mtn_customer_churn].[Age].[All]" allUniqueName="[mtn_customer_churn].[Age].[All]" dimensionUniqueName="[mtn_customer_churn]" displayFolder="" count="0" memberValueDatatype="20" unbalanced="0"/>
    <cacheHierarchy uniqueName="[mtn_customer_churn].[State]" caption="State" attribute="1" defaultMemberUniqueName="[mtn_customer_churn].[State].[All]" allUniqueName="[mtn_customer_churn].[State].[All]" dimensionUniqueName="[mtn_customer_churn]" displayFolder="" count="2" memberValueDatatype="130" unbalanced="0">
      <fieldsUsage count="2">
        <fieldUsage x="-1"/>
        <fieldUsage x="2"/>
      </fieldsUsage>
    </cacheHierarchy>
    <cacheHierarchy uniqueName="[mtn_customer_churn].[Product_Name]" caption="Product_Name" attribute="1" defaultMemberUniqueName="[mtn_customer_churn].[Product_Name].[All]" allUniqueName="[mtn_customer_churn].[Product_Name].[All]" dimensionUniqueName="[mtn_customer_churn]" displayFolder="" count="2" memberValueDatatype="130" unbalanced="0"/>
    <cacheHierarchy uniqueName="[mtn_customer_churn].[Gender]" caption="Gender" attribute="1" defaultMemberUniqueName="[mtn_customer_churn].[Gender].[All]" allUniqueName="[mtn_customer_churn].[Gender].[All]" dimensionUniqueName="[mtn_customer_churn]" displayFolder="" count="2" memberValueDatatype="130" unbalanced="0">
      <fieldsUsage count="2">
        <fieldUsage x="-1"/>
        <fieldUsage x="4"/>
      </fieldsUsage>
    </cacheHierarchy>
    <cacheHierarchy uniqueName="[mtn_customer_churn].[Satisfaction Rate]" caption="Satisfaction Rate" attribute="1" defaultMemberUniqueName="[mtn_customer_churn].[Satisfaction Rate].[All]" allUniqueName="[mtn_customer_churn].[Satisfaction Rate].[All]" dimensionUniqueName="[mtn_customer_churn]" displayFolder="" count="0" memberValueDatatype="20" unbalanced="0"/>
    <cacheHierarchy uniqueName="[mtn_customer_churn].[Customer Review]" caption="Customer Review" attribute="1" defaultMemberUniqueName="[mtn_customer_churn].[Customer Review].[All]" allUniqueName="[mtn_customer_churn].[Customer Review].[All]" dimensionUniqueName="[mtn_customer_churn]" displayFolder="" count="0" memberValueDatatype="130" unbalanced="0"/>
    <cacheHierarchy uniqueName="[mtn_customer_churn].[Customer Tenure in months]" caption="Customer Tenure in months" attribute="1" defaultMemberUniqueName="[mtn_customer_churn].[Customer Tenure in months].[All]" allUniqueName="[mtn_customer_churn].[Customer Tenure in months].[All]" dimensionUniqueName="[mtn_customer_churn]" displayFolder="" count="0" memberValueDatatype="20" unbalanced="0"/>
    <cacheHierarchy uniqueName="[mtn_customer_churn].[Subscription Plan]" caption="Subscription Plan" attribute="1" defaultMemberUniqueName="[mtn_customer_churn].[Subscription Plan].[All]" allUniqueName="[mtn_customer_churn].[Subscription Plan].[All]" dimensionUniqueName="[mtn_customer_churn]" displayFolder="" count="2" memberValueDatatype="130" unbalanced="0">
      <fieldsUsage count="2">
        <fieldUsage x="-1"/>
        <fieldUsage x="0"/>
      </fieldsUsage>
    </cacheHierarchy>
    <cacheHierarchy uniqueName="[mtn_customer_churn].[Unit Price]" caption="Unit Price" attribute="1" defaultMemberUniqueName="[mtn_customer_churn].[Unit Price].[All]" allUniqueName="[mtn_customer_churn].[Unit Price].[All]" dimensionUniqueName="[mtn_customer_churn]" displayFolder="" count="0" memberValueDatatype="5" unbalanced="0"/>
    <cacheHierarchy uniqueName="[mtn_customer_churn].[Quantity Sold]" caption="Quantity Sold" attribute="1" defaultMemberUniqueName="[mtn_customer_churn].[Quantity Sold].[All]" allUniqueName="[mtn_customer_churn].[Quantity Sold].[All]" dimensionUniqueName="[mtn_customer_churn]" displayFolder="" count="0" memberValueDatatype="20" unbalanced="0"/>
    <cacheHierarchy uniqueName="[mtn_customer_churn].[Total Revenue]" caption="Total Revenue" attribute="1" defaultMemberUniqueName="[mtn_customer_churn].[Total Revenue].[All]" allUniqueName="[mtn_customer_churn].[Total Revenue].[All]" dimensionUniqueName="[mtn_customer_churn]" displayFolder="" count="0" memberValueDatatype="5" unbalanced="0"/>
    <cacheHierarchy uniqueName="[mtn_customer_churn].[Data Usage]" caption="Data Usage" attribute="1" defaultMemberUniqueName="[mtn_customer_churn].[Data Usage].[All]" allUniqueName="[mtn_customer_churn].[Data Usage].[All]" dimensionUniqueName="[mtn_customer_churn]" displayFolder="" count="0" memberValueDatatype="5" unbalanced="0"/>
    <cacheHierarchy uniqueName="[mtn_customer_churn].[Customer Churn Status]" caption="Customer Churn Status" attribute="1" defaultMemberUniqueName="[mtn_customer_churn].[Customer Churn Status].[All]" allUniqueName="[mtn_customer_churn].[Customer Churn Status].[All]" dimensionUniqueName="[mtn_customer_churn]" displayFolder="" count="0" memberValueDatatype="130" unbalanced="0"/>
    <cacheHierarchy uniqueName="[mtn_customer_churn].[Reasons for Churn]" caption="Reasons for Churn" attribute="1" defaultMemberUniqueName="[mtn_customer_churn].[Reasons for Churn].[All]" allUniqueName="[mtn_customer_churn].[Reasons for Churn].[All]" dimensionUniqueName="[mtn_customer_churn]" displayFolder="" count="0" memberValueDatatype="130" unbalanced="0"/>
    <cacheHierarchy uniqueName="[order date].[Order_date]" caption="Order_date" attribute="1" time="1" defaultMemberUniqueName="[order date].[Order_date].[All]" allUniqueName="[order date].[Order_date].[All]" dimensionUniqueName="[order date]" displayFolder="" count="0" memberValueDatatype="7" unbalanced="0"/>
    <cacheHierarchy uniqueName="[order date].[years]" caption="years" attribute="1" defaultMemberUniqueName="[order date].[years].[All]" allUniqueName="[order date].[years].[All]" dimensionUniqueName="[order date]" displayFolder="" count="2" memberValueDatatype="20" unbalanced="0"/>
    <cacheHierarchy uniqueName="[order date].[Months]" caption="Months" attribute="1" defaultMemberUniqueName="[order date].[Months].[All]" allUniqueName="[order date].[Months].[All]" dimensionUniqueName="[order date]" displayFolder="" count="2" memberValueDatatype="130" unbalanced="0">
      <fieldsUsage count="2">
        <fieldUsage x="-1"/>
        <fieldUsage x="5"/>
      </fieldsUsage>
    </cacheHierarchy>
    <cacheHierarchy uniqueName="[order date].[Months Num]" caption="Months Num" attribute="1" defaultMemberUniqueName="[order date].[Months Num].[All]" allUniqueName="[order date].[Months Num].[All]" dimensionUniqueName="[order date]" displayFolder="" count="0" memberValueDatatype="20" unbalanced="0"/>
    <cacheHierarchy uniqueName="[order date].[Weekdays]" caption="Weekdays" attribute="1" defaultMemberUniqueName="[order date].[Weekdays].[All]" allUniqueName="[order date].[Weekdays].[All]" dimensionUniqueName="[order date]" displayFolder="" count="0" memberValueDatatype="130" unbalanced="0"/>
    <cacheHierarchy uniqueName="[order date].[Days of the weeks]" caption="Days of the weeks" attribute="1" defaultMemberUniqueName="[order date].[Days of the weeks].[All]" allUniqueName="[order date].[Days of the weeks].[All]" dimensionUniqueName="[order date]" displayFolder="" count="0" memberValueDatatype="20" unbalanced="0"/>
    <cacheHierarchy uniqueName="[order date].[Weektype]" caption="Weektype" attribute="1" defaultMemberUniqueName="[order date].[Weektype].[All]" allUniqueName="[order date].[Weektype].[All]" dimensionUniqueName="[order date]" displayFolder="" count="0" memberValueDatatype="130" unbalanced="0"/>
    <cacheHierarchy uniqueName="[order date].[Quarter]" caption="Quarter" attribute="1" defaultMemberUniqueName="[order date].[Quarter].[All]" allUniqueName="[order date].[Quarter].[All]" dimensionUniqueName="[order date]" displayFolder="" count="0" memberValueDatatype="130" unbalanced="0"/>
    <cacheHierarchy uniqueName="[order date].[Week_Type]" caption="Week_Type" attribute="1" defaultMemberUniqueName="[order date].[Week_Type].[All]" allUniqueName="[order date].[Week_Type].[All]" dimensionUniqueName="[order date]" displayFolder="" count="0" memberValueDatatype="130" unbalanced="0"/>
    <cacheHierarchy uniqueName="[mtn_customer_churn].[Age_Group]" caption="Age_Group" attribute="1" defaultMemberUniqueName="[mtn_customer_churn].[Age_Group].[All]" allUniqueName="[mtn_customer_churn].[Age_Group].[All]" dimensionUniqueName="[mtn_customer_churn]" displayFolder="" count="0" memberValueDatatype="130" unbalanced="0" hidden="1"/>
    <cacheHierarchy uniqueName="[mtn_customer_churn].[Order_Date]" caption="Order_Date" attribute="1" time="1" defaultMemberUniqueName="[mtn_customer_churn].[Order_Date].[All]" allUniqueName="[mtn_customer_churn].[Order_Date].[All]" dimensionUniqueName="[mtn_customer_churn]" displayFolder="" count="0" memberValueDatatype="7" unbalanced="0" hidden="1"/>
    <cacheHierarchy uniqueName="[Measures].[Total Revenew]" caption="Total Revenew" measure="1" displayFolder="" measureGroup="Calculation" count="0" oneField="1">
      <fieldsUsage count="1">
        <fieldUsage x="1"/>
      </fieldsUsage>
    </cacheHierarchy>
    <cacheHierarchy uniqueName="[Measures].[Total Customers]" caption="Total Customers" measure="1" displayFolder="" measureGroup="Calculation" count="0"/>
    <cacheHierarchy uniqueName="[Measures].[Churned customer]" caption="Churned customer" measure="1" displayFolder="" measureGroup="Calculation" count="0"/>
    <cacheHierarchy uniqueName="[Measures].[Churn Rate]" caption="Churn Rate" measure="1" displayFolder="" measureGroup="Calculation" count="0"/>
    <cacheHierarchy uniqueName="[Measures].[Avg. Tenure (month)]" caption="Avg. Tenure (month)" measure="1" displayFolder="" measureGroup="Calculation" count="0"/>
    <cacheHierarchy uniqueName="[Measures].[Avg.Satisfaction Score]" caption="Avg.Satisfaction Score" measure="1" displayFolder="" measureGroup="Calculation" count="0"/>
    <cacheHierarchy uniqueName="[Measures].[product]" caption="product" measure="1" displayFolder="" measureGroup="Calculation" count="0"/>
    <cacheHierarchy uniqueName="[Measures].[Total Qty Sold]" caption="Total Qty Sold" measure="1" displayFolder="" measureGroup="Calculation" count="0"/>
    <cacheHierarchy uniqueName="[Measures].[Total Unit Sold]" caption="Total Unit Sold" measure="1" displayFolder="" measureGroup="Calculation" count="0"/>
    <cacheHierarchy uniqueName="[Measures].[Avg. Revenue per customer]" caption="Avg. Revenue per customer" measure="1" displayFolder="" measureGroup="mtn_customer_churn" count="0"/>
    <cacheHierarchy uniqueName="[Measures].[Avg. revenue per product]" caption="Avg. revenue per product" measure="1" displayFolder="" measureGroup="Calculation" count="0"/>
    <cacheHierarchy uniqueName="[Measures].[__XL_Count mtn_customer_churn]" caption="__XL_Count mtn_customer_churn" measure="1" displayFolder="" measureGroup="mtn_customer_churn" count="0" hidden="1"/>
    <cacheHierarchy uniqueName="[Measures].[__XL_Count Age-Group]" caption="__XL_Count Age-Group" measure="1" displayFolder="" measureGroup="Age-Group" count="0" hidden="1"/>
    <cacheHierarchy uniqueName="[Measures].[__XL_Count order date]" caption="__XL_Count order date" measure="1" displayFolder="" measureGroup="order date" count="0" hidden="1"/>
    <cacheHierarchy uniqueName="[Measures].[__XL_Count Calculation]" caption="__XL_Count Calculation" measure="1" displayFolder="" measureGroup="Calculation" count="0" hidden="1"/>
    <cacheHierarchy uniqueName="[Measures].[__No measures defined]" caption="__No measures defined" measure="1" displayFolder="" count="0" hidden="1"/>
    <cacheHierarchy uniqueName="[Measures].[Sum of Data Usage]" caption="Sum of Data Usage" measure="1" displayFolder="" measureGroup="mtn_customer_churn" count="0" hidden="1">
      <extLst>
        <ext xmlns:x15="http://schemas.microsoft.com/office/spreadsheetml/2010/11/main" uri="{B97F6D7D-B522-45F9-BDA1-12C45D357490}">
          <x15:cacheHierarchy aggregatedColumn="16"/>
        </ext>
      </extLst>
    </cacheHierarchy>
    <cacheHierarchy uniqueName="[Measures].[Sum of Quantity Sold]" caption="Sum of Quantity Sold" measure="1" displayFolder="" measureGroup="mtn_customer_churn" count="0" hidden="1">
      <extLst>
        <ext xmlns:x15="http://schemas.microsoft.com/office/spreadsheetml/2010/11/main" uri="{B97F6D7D-B522-45F9-BDA1-12C45D357490}">
          <x15:cacheHierarchy aggregatedColumn="14"/>
        </ext>
      </extLst>
    </cacheHierarchy>
    <cacheHierarchy uniqueName="[Measures].[Count of Customer Churn Status]" caption="Count of Customer Churn Status" measure="1" displayFolder="" measureGroup="mtn_customer_churn" count="0" hidden="1">
      <extLst>
        <ext xmlns:x15="http://schemas.microsoft.com/office/spreadsheetml/2010/11/main" uri="{B97F6D7D-B522-45F9-BDA1-12C45D357490}">
          <x15:cacheHierarchy aggregatedColumn="17"/>
        </ext>
      </extLst>
    </cacheHierarchy>
    <cacheHierarchy uniqueName="[Measures].[Sum of Days of the weeks]" caption="Sum of Days of the weeks" measure="1" displayFolder="" measureGroup="order date" count="0" hidden="1">
      <extLst>
        <ext xmlns:x15="http://schemas.microsoft.com/office/spreadsheetml/2010/11/main" uri="{B97F6D7D-B522-45F9-BDA1-12C45D357490}">
          <x15:cacheHierarchy aggregatedColumn="24"/>
        </ext>
      </extLst>
    </cacheHierarchy>
  </cacheHierarchies>
  <kpis count="0"/>
  <dimensions count="5">
    <dimension name="Age-Group" uniqueName="[Age-Group]" caption="Age-Group"/>
    <dimension name="Calculation" uniqueName="[Calculation]" caption="Calculation"/>
    <dimension measure="1" name="Measures" uniqueName="[Measures]" caption="Measures"/>
    <dimension name="mtn_customer_churn" uniqueName="[mtn_customer_churn]" caption="mtn_customer_churn"/>
    <dimension name="order date" uniqueName="[order date]" caption="order date"/>
  </dimensions>
  <measureGroups count="4">
    <measureGroup name="Age-Group" caption="Age-Group"/>
    <measureGroup name="Calculation" caption="Calculation"/>
    <measureGroup name="mtn_customer_churn" caption="mtn_customer_churn"/>
    <measureGroup name="order date" caption="order dat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mah" refreshedDate="46057.83858113426" backgroundQuery="1" createdVersion="8" refreshedVersion="8" minRefreshableVersion="3" recordCount="0" supportSubquery="1" supportAdvancedDrill="1" xr:uid="{8691385C-9F80-4927-AE48-61D0A54FA480}">
  <cacheSource type="external" connectionId="5"/>
  <cacheFields count="9">
    <cacheField name="[Measures].[Churn Rate]" caption="Churn Rate" numFmtId="0" hierarchy="33" level="32767"/>
    <cacheField name="[Measures].[Avg. Tenure (month)]" caption="Avg. Tenure (month)" numFmtId="0" hierarchy="34" level="32767"/>
    <cacheField name="[Measures].[Avg.Satisfaction Score]" caption="Avg.Satisfaction Score" numFmtId="0" hierarchy="35" level="32767"/>
    <cacheField name="[Measures].[product]" caption="product" numFmtId="0" hierarchy="36" level="32767"/>
    <cacheField name="[Measures].[Total Qty Sold]" caption="Total Qty Sold" numFmtId="0" hierarchy="37" level="32767"/>
    <cacheField name="[Measures].[Total Unit Sold]" caption="Total Unit Sold" numFmtId="0" hierarchy="38" level="32767"/>
    <cacheField name="[Measures].[Avg. Revenue per customer]" caption="Avg. Revenue per customer" numFmtId="0" hierarchy="39" level="32767"/>
    <cacheField name="[Measures].[Avg. revenue per product]" caption="Avg. revenue per product" numFmtId="0" hierarchy="40" level="32767"/>
    <cacheField name="[order date].[Months].[Months]" caption="Months" numFmtId="0" hierarchy="21" level="1">
      <sharedItems containsSemiMixedTypes="0" containsNonDate="0" containsString="0"/>
    </cacheField>
  </cacheFields>
  <cacheHierarchies count="50">
    <cacheHierarchy uniqueName="[Age-Group].[Age_Group]" caption="Age_Group" attribute="1" defaultMemberUniqueName="[Age-Group].[Age_Group].[All]" allUniqueName="[Age-Group].[Age_Group].[All]" dimensionUniqueName="[Age-Group]" displayFolder="" count="0" memberValueDatatype="130" unbalanced="0"/>
    <cacheHierarchy uniqueName="[Age-Group].[Age_num]" caption="Age_num" attribute="1" defaultMemberUniqueName="[Age-Group].[Age_num].[All]" allUniqueName="[Age-Group].[Age_num].[All]" dimensionUniqueName="[Age-Group]" displayFolder="" count="0" memberValueDatatype="130" unbalanced="0"/>
    <cacheHierarchy uniqueName="[Calculation].[Column1]" caption="Column1" attribute="1" defaultMemberUniqueName="[Calculation].[Column1].[All]" allUniqueName="[Calculation].[Column1].[All]" dimensionUniqueName="[Calculation]" displayFolder="" count="0" memberValueDatatype="130" unbalanced="0"/>
    <cacheHierarchy uniqueName="[mtn_customer_churn].[Customer ID]" caption="Customer ID" attribute="1" defaultMemberUniqueName="[mtn_customer_churn].[Customer ID].[All]" allUniqueName="[mtn_customer_churn].[Customer ID].[All]" dimensionUniqueName="[mtn_customer_churn]" displayFolder="" count="0" memberValueDatatype="130" unbalanced="0"/>
    <cacheHierarchy uniqueName="[mtn_customer_churn].[Full Name]" caption="Full Name" attribute="1" defaultMemberUniqueName="[mtn_customer_churn].[Full Name].[All]" allUniqueName="[mtn_customer_churn].[Full Name].[All]" dimensionUniqueName="[mtn_customer_churn]" displayFolder="" count="0" memberValueDatatype="130" unbalanced="0"/>
    <cacheHierarchy uniqueName="[mtn_customer_churn].[Age]" caption="Age" attribute="1" defaultMemberUniqueName="[mtn_customer_churn].[Age].[All]" allUniqueName="[mtn_customer_churn].[Age].[All]" dimensionUniqueName="[mtn_customer_churn]" displayFolder="" count="0" memberValueDatatype="20" unbalanced="0"/>
    <cacheHierarchy uniqueName="[mtn_customer_churn].[State]" caption="State" attribute="1" defaultMemberUniqueName="[mtn_customer_churn].[State].[All]" allUniqueName="[mtn_customer_churn].[State].[All]" dimensionUniqueName="[mtn_customer_churn]" displayFolder="" count="0" memberValueDatatype="130" unbalanced="0"/>
    <cacheHierarchy uniqueName="[mtn_customer_churn].[Product_Name]" caption="Product_Name" attribute="1" defaultMemberUniqueName="[mtn_customer_churn].[Product_Name].[All]" allUniqueName="[mtn_customer_churn].[Product_Name].[All]" dimensionUniqueName="[mtn_customer_churn]" displayFolder="" count="0" memberValueDatatype="130" unbalanced="0"/>
    <cacheHierarchy uniqueName="[mtn_customer_churn].[Gender]" caption="Gender" attribute="1" defaultMemberUniqueName="[mtn_customer_churn].[Gender].[All]" allUniqueName="[mtn_customer_churn].[Gender].[All]" dimensionUniqueName="[mtn_customer_churn]" displayFolder="" count="0" memberValueDatatype="130" unbalanced="0"/>
    <cacheHierarchy uniqueName="[mtn_customer_churn].[Satisfaction Rate]" caption="Satisfaction Rate" attribute="1" defaultMemberUniqueName="[mtn_customer_churn].[Satisfaction Rate].[All]" allUniqueName="[mtn_customer_churn].[Satisfaction Rate].[All]" dimensionUniqueName="[mtn_customer_churn]" displayFolder="" count="0" memberValueDatatype="20" unbalanced="0"/>
    <cacheHierarchy uniqueName="[mtn_customer_churn].[Customer Review]" caption="Customer Review" attribute="1" defaultMemberUniqueName="[mtn_customer_churn].[Customer Review].[All]" allUniqueName="[mtn_customer_churn].[Customer Review].[All]" dimensionUniqueName="[mtn_customer_churn]" displayFolder="" count="0" memberValueDatatype="130" unbalanced="0"/>
    <cacheHierarchy uniqueName="[mtn_customer_churn].[Customer Tenure in months]" caption="Customer Tenure in months" attribute="1" defaultMemberUniqueName="[mtn_customer_churn].[Customer Tenure in months].[All]" allUniqueName="[mtn_customer_churn].[Customer Tenure in months].[All]" dimensionUniqueName="[mtn_customer_churn]" displayFolder="" count="0" memberValueDatatype="20" unbalanced="0"/>
    <cacheHierarchy uniqueName="[mtn_customer_churn].[Subscription Plan]" caption="Subscription Plan" attribute="1" defaultMemberUniqueName="[mtn_customer_churn].[Subscription Plan].[All]" allUniqueName="[mtn_customer_churn].[Subscription Plan].[All]" dimensionUniqueName="[mtn_customer_churn]" displayFolder="" count="0" memberValueDatatype="130" unbalanced="0"/>
    <cacheHierarchy uniqueName="[mtn_customer_churn].[Unit Price]" caption="Unit Price" attribute="1" defaultMemberUniqueName="[mtn_customer_churn].[Unit Price].[All]" allUniqueName="[mtn_customer_churn].[Unit Price].[All]" dimensionUniqueName="[mtn_customer_churn]" displayFolder="" count="0" memberValueDatatype="5" unbalanced="0"/>
    <cacheHierarchy uniqueName="[mtn_customer_churn].[Quantity Sold]" caption="Quantity Sold" attribute="1" defaultMemberUniqueName="[mtn_customer_churn].[Quantity Sold].[All]" allUniqueName="[mtn_customer_churn].[Quantity Sold].[All]" dimensionUniqueName="[mtn_customer_churn]" displayFolder="" count="0" memberValueDatatype="20" unbalanced="0"/>
    <cacheHierarchy uniqueName="[mtn_customer_churn].[Total Revenue]" caption="Total Revenue" attribute="1" defaultMemberUniqueName="[mtn_customer_churn].[Total Revenue].[All]" allUniqueName="[mtn_customer_churn].[Total Revenue].[All]" dimensionUniqueName="[mtn_customer_churn]" displayFolder="" count="0" memberValueDatatype="5" unbalanced="0"/>
    <cacheHierarchy uniqueName="[mtn_customer_churn].[Data Usage]" caption="Data Usage" attribute="1" defaultMemberUniqueName="[mtn_customer_churn].[Data Usage].[All]" allUniqueName="[mtn_customer_churn].[Data Usage].[All]" dimensionUniqueName="[mtn_customer_churn]" displayFolder="" count="0" memberValueDatatype="5" unbalanced="0"/>
    <cacheHierarchy uniqueName="[mtn_customer_churn].[Customer Churn Status]" caption="Customer Churn Status" attribute="1" defaultMemberUniqueName="[mtn_customer_churn].[Customer Churn Status].[All]" allUniqueName="[mtn_customer_churn].[Customer Churn Status].[All]" dimensionUniqueName="[mtn_customer_churn]" displayFolder="" count="0" memberValueDatatype="130" unbalanced="0"/>
    <cacheHierarchy uniqueName="[mtn_customer_churn].[Reasons for Churn]" caption="Reasons for Churn" attribute="1" defaultMemberUniqueName="[mtn_customer_churn].[Reasons for Churn].[All]" allUniqueName="[mtn_customer_churn].[Reasons for Churn].[All]" dimensionUniqueName="[mtn_customer_churn]" displayFolder="" count="0" memberValueDatatype="130" unbalanced="0"/>
    <cacheHierarchy uniqueName="[order date].[Order_date]" caption="Order_date" attribute="1" time="1" defaultMemberUniqueName="[order date].[Order_date].[All]" allUniqueName="[order date].[Order_date].[All]" dimensionUniqueName="[order date]" displayFolder="" count="0" memberValueDatatype="7" unbalanced="0"/>
    <cacheHierarchy uniqueName="[order date].[years]" caption="years" attribute="1" defaultMemberUniqueName="[order date].[years].[All]" allUniqueName="[order date].[years].[All]" dimensionUniqueName="[order date]" displayFolder="" count="2" memberValueDatatype="20" unbalanced="0"/>
    <cacheHierarchy uniqueName="[order date].[Months]" caption="Months" attribute="1" defaultMemberUniqueName="[order date].[Months].[All]" allUniqueName="[order date].[Months].[All]" dimensionUniqueName="[order date]" displayFolder="" count="2" memberValueDatatype="130" unbalanced="0">
      <fieldsUsage count="2">
        <fieldUsage x="-1"/>
        <fieldUsage x="8"/>
      </fieldsUsage>
    </cacheHierarchy>
    <cacheHierarchy uniqueName="[order date].[Months Num]" caption="Months Num" attribute="1" defaultMemberUniqueName="[order date].[Months Num].[All]" allUniqueName="[order date].[Months Num].[All]" dimensionUniqueName="[order date]" displayFolder="" count="0" memberValueDatatype="20" unbalanced="0"/>
    <cacheHierarchy uniqueName="[order date].[Weekdays]" caption="Weekdays" attribute="1" defaultMemberUniqueName="[order date].[Weekdays].[All]" allUniqueName="[order date].[Weekdays].[All]" dimensionUniqueName="[order date]" displayFolder="" count="0" memberValueDatatype="130" unbalanced="0"/>
    <cacheHierarchy uniqueName="[order date].[Days of the weeks]" caption="Days of the weeks" attribute="1" defaultMemberUniqueName="[order date].[Days of the weeks].[All]" allUniqueName="[order date].[Days of the weeks].[All]" dimensionUniqueName="[order date]" displayFolder="" count="0" memberValueDatatype="20" unbalanced="0"/>
    <cacheHierarchy uniqueName="[order date].[Weektype]" caption="Weektype" attribute="1" defaultMemberUniqueName="[order date].[Weektype].[All]" allUniqueName="[order date].[Weektype].[All]" dimensionUniqueName="[order date]" displayFolder="" count="0" memberValueDatatype="130" unbalanced="0"/>
    <cacheHierarchy uniqueName="[order date].[Quarter]" caption="Quarter" attribute="1" defaultMemberUniqueName="[order date].[Quarter].[All]" allUniqueName="[order date].[Quarter].[All]" dimensionUniqueName="[order date]" displayFolder="" count="0" memberValueDatatype="130" unbalanced="0"/>
    <cacheHierarchy uniqueName="[order date].[Week_Type]" caption="Week_Type" attribute="1" defaultMemberUniqueName="[order date].[Week_Type].[All]" allUniqueName="[order date].[Week_Type].[All]" dimensionUniqueName="[order date]" displayFolder="" count="0" memberValueDatatype="130" unbalanced="0"/>
    <cacheHierarchy uniqueName="[mtn_customer_churn].[Age_Group]" caption="Age_Group" attribute="1" defaultMemberUniqueName="[mtn_customer_churn].[Age_Group].[All]" allUniqueName="[mtn_customer_churn].[Age_Group].[All]" dimensionUniqueName="[mtn_customer_churn]" displayFolder="" count="0" memberValueDatatype="130" unbalanced="0" hidden="1"/>
    <cacheHierarchy uniqueName="[mtn_customer_churn].[Order_Date]" caption="Order_Date" attribute="1" time="1" defaultMemberUniqueName="[mtn_customer_churn].[Order_Date].[All]" allUniqueName="[mtn_customer_churn].[Order_Date].[All]" dimensionUniqueName="[mtn_customer_churn]" displayFolder="" count="0" memberValueDatatype="7" unbalanced="0" hidden="1"/>
    <cacheHierarchy uniqueName="[Measures].[Total Revenew]" caption="Total Revenew" measure="1" displayFolder="" measureGroup="Calculation" count="0"/>
    <cacheHierarchy uniqueName="[Measures].[Total Customers]" caption="Total Customers" measure="1" displayFolder="" measureGroup="Calculation" count="0"/>
    <cacheHierarchy uniqueName="[Measures].[Churned customer]" caption="Churned customer" measure="1" displayFolder="" measureGroup="Calculation" count="0"/>
    <cacheHierarchy uniqueName="[Measures].[Churn Rate]" caption="Churn Rate" measure="1" displayFolder="" measureGroup="Calculation" count="0" oneField="1">
      <fieldsUsage count="1">
        <fieldUsage x="0"/>
      </fieldsUsage>
    </cacheHierarchy>
    <cacheHierarchy uniqueName="[Measures].[Avg. Tenure (month)]" caption="Avg. Tenure (month)" measure="1" displayFolder="" measureGroup="Calculation" count="0" oneField="1">
      <fieldsUsage count="1">
        <fieldUsage x="1"/>
      </fieldsUsage>
    </cacheHierarchy>
    <cacheHierarchy uniqueName="[Measures].[Avg.Satisfaction Score]" caption="Avg.Satisfaction Score" measure="1" displayFolder="" measureGroup="Calculation" count="0" oneField="1">
      <fieldsUsage count="1">
        <fieldUsage x="2"/>
      </fieldsUsage>
    </cacheHierarchy>
    <cacheHierarchy uniqueName="[Measures].[product]" caption="product" measure="1" displayFolder="" measureGroup="Calculation" count="0" oneField="1">
      <fieldsUsage count="1">
        <fieldUsage x="3"/>
      </fieldsUsage>
    </cacheHierarchy>
    <cacheHierarchy uniqueName="[Measures].[Total Qty Sold]" caption="Total Qty Sold" measure="1" displayFolder="" measureGroup="Calculation" count="0" oneField="1">
      <fieldsUsage count="1">
        <fieldUsage x="4"/>
      </fieldsUsage>
    </cacheHierarchy>
    <cacheHierarchy uniqueName="[Measures].[Total Unit Sold]" caption="Total Unit Sold" measure="1" displayFolder="" measureGroup="Calculation" count="0" oneField="1">
      <fieldsUsage count="1">
        <fieldUsage x="5"/>
      </fieldsUsage>
    </cacheHierarchy>
    <cacheHierarchy uniqueName="[Measures].[Avg. Revenue per customer]" caption="Avg. Revenue per customer" measure="1" displayFolder="" measureGroup="mtn_customer_churn" count="0" oneField="1">
      <fieldsUsage count="1">
        <fieldUsage x="6"/>
      </fieldsUsage>
    </cacheHierarchy>
    <cacheHierarchy uniqueName="[Measures].[Avg. revenue per product]" caption="Avg. revenue per product" measure="1" displayFolder="" measureGroup="Calculation" count="0" oneField="1">
      <fieldsUsage count="1">
        <fieldUsage x="7"/>
      </fieldsUsage>
    </cacheHierarchy>
    <cacheHierarchy uniqueName="[Measures].[__XL_Count mtn_customer_churn]" caption="__XL_Count mtn_customer_churn" measure="1" displayFolder="" measureGroup="mtn_customer_churn" count="0" hidden="1"/>
    <cacheHierarchy uniqueName="[Measures].[__XL_Count Age-Group]" caption="__XL_Count Age-Group" measure="1" displayFolder="" measureGroup="Age-Group" count="0" hidden="1"/>
    <cacheHierarchy uniqueName="[Measures].[__XL_Count order date]" caption="__XL_Count order date" measure="1" displayFolder="" measureGroup="order date" count="0" hidden="1"/>
    <cacheHierarchy uniqueName="[Measures].[__XL_Count Calculation]" caption="__XL_Count Calculation" measure="1" displayFolder="" measureGroup="Calculation" count="0" hidden="1"/>
    <cacheHierarchy uniqueName="[Measures].[__No measures defined]" caption="__No measures defined" measure="1" displayFolder="" count="0" hidden="1"/>
    <cacheHierarchy uniqueName="[Measures].[Sum of Data Usage]" caption="Sum of Data Usage" measure="1" displayFolder="" measureGroup="mtn_customer_churn" count="0" hidden="1">
      <extLst>
        <ext xmlns:x15="http://schemas.microsoft.com/office/spreadsheetml/2010/11/main" uri="{B97F6D7D-B522-45F9-BDA1-12C45D357490}">
          <x15:cacheHierarchy aggregatedColumn="16"/>
        </ext>
      </extLst>
    </cacheHierarchy>
    <cacheHierarchy uniqueName="[Measures].[Sum of Quantity Sold]" caption="Sum of Quantity Sold" measure="1" displayFolder="" measureGroup="mtn_customer_churn" count="0" hidden="1">
      <extLst>
        <ext xmlns:x15="http://schemas.microsoft.com/office/spreadsheetml/2010/11/main" uri="{B97F6D7D-B522-45F9-BDA1-12C45D357490}">
          <x15:cacheHierarchy aggregatedColumn="14"/>
        </ext>
      </extLst>
    </cacheHierarchy>
    <cacheHierarchy uniqueName="[Measures].[Count of Customer Churn Status]" caption="Count of Customer Churn Status" measure="1" displayFolder="" measureGroup="mtn_customer_churn" count="0" hidden="1">
      <extLst>
        <ext xmlns:x15="http://schemas.microsoft.com/office/spreadsheetml/2010/11/main" uri="{B97F6D7D-B522-45F9-BDA1-12C45D357490}">
          <x15:cacheHierarchy aggregatedColumn="17"/>
        </ext>
      </extLst>
    </cacheHierarchy>
    <cacheHierarchy uniqueName="[Measures].[Sum of Days of the weeks]" caption="Sum of Days of the weeks" measure="1" displayFolder="" measureGroup="order date" count="0" hidden="1">
      <extLst>
        <ext xmlns:x15="http://schemas.microsoft.com/office/spreadsheetml/2010/11/main" uri="{B97F6D7D-B522-45F9-BDA1-12C45D357490}">
          <x15:cacheHierarchy aggregatedColumn="24"/>
        </ext>
      </extLst>
    </cacheHierarchy>
  </cacheHierarchies>
  <kpis count="0"/>
  <dimensions count="5">
    <dimension name="Age-Group" uniqueName="[Age-Group]" caption="Age-Group"/>
    <dimension name="Calculation" uniqueName="[Calculation]" caption="Calculation"/>
    <dimension measure="1" name="Measures" uniqueName="[Measures]" caption="Measures"/>
    <dimension name="mtn_customer_churn" uniqueName="[mtn_customer_churn]" caption="mtn_customer_churn"/>
    <dimension name="order date" uniqueName="[order date]" caption="order date"/>
  </dimensions>
  <measureGroups count="4">
    <measureGroup name="Age-Group" caption="Age-Group"/>
    <measureGroup name="Calculation" caption="Calculation"/>
    <measureGroup name="mtn_customer_churn" caption="mtn_customer_churn"/>
    <measureGroup name="order date" caption="order dat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mah" refreshedDate="46057.838582060183" backgroundQuery="1" createdVersion="8" refreshedVersion="8" minRefreshableVersion="3" recordCount="0" supportSubquery="1" supportAdvancedDrill="1" xr:uid="{3B6D562B-5D67-40A0-9511-42493C881082}">
  <cacheSource type="external" connectionId="5"/>
  <cacheFields count="4">
    <cacheField name="[mtn_customer_churn].[Subscription Plan].[Subscription Plan]" caption="Subscription Plan" numFmtId="0" hierarchy="12" level="1">
      <sharedItems count="10">
        <s v="10GB+10mins Monthly Plan"/>
        <s v="12.5GB Monthly Plan"/>
        <s v="120GB Monthly Broadband Plan"/>
        <s v="150GB FUP Monthly Unlimited"/>
        <s v="165GB Monthly Plan"/>
        <s v="25GB Monthly Plan"/>
        <s v="300GB FUP Monthly Unlimited"/>
        <s v="30GB Monthly Broadband Plan"/>
        <s v="60GB Monthly Broadband Plan"/>
        <s v="65GB Monthly Plan"/>
      </sharedItems>
    </cacheField>
    <cacheField name="[Measures].[Total Revenew]" caption="Total Revenew" numFmtId="0" hierarchy="30" level="32767"/>
    <cacheField name="[mtn_customer_churn].[State].[State]" caption="State" numFmtId="0" hierarchy="6" level="1">
      <sharedItems count="8">
        <s v="Edo"/>
        <s v="Ekiti"/>
        <s v="Oyo"/>
        <s v="Plateau"/>
        <s v="Yobe"/>
        <s v="Anambra" u="1"/>
        <s v="Abia" u="1"/>
        <s v="Gombe" u="1"/>
      </sharedItems>
    </cacheField>
    <cacheField name="[order date].[Months].[Months]" caption="Months" numFmtId="0" hierarchy="21" level="1">
      <sharedItems containsSemiMixedTypes="0" containsNonDate="0" containsString="0"/>
    </cacheField>
  </cacheFields>
  <cacheHierarchies count="50">
    <cacheHierarchy uniqueName="[Age-Group].[Age_Group]" caption="Age_Group" attribute="1" defaultMemberUniqueName="[Age-Group].[Age_Group].[All]" allUniqueName="[Age-Group].[Age_Group].[All]" dimensionUniqueName="[Age-Group]" displayFolder="" count="2" memberValueDatatype="130" unbalanced="0"/>
    <cacheHierarchy uniqueName="[Age-Group].[Age_num]" caption="Age_num" attribute="1" defaultMemberUniqueName="[Age-Group].[Age_num].[All]" allUniqueName="[Age-Group].[Age_num].[All]" dimensionUniqueName="[Age-Group]" displayFolder="" count="0" memberValueDatatype="130" unbalanced="0"/>
    <cacheHierarchy uniqueName="[Calculation].[Column1]" caption="Column1" attribute="1" defaultMemberUniqueName="[Calculation].[Column1].[All]" allUniqueName="[Calculation].[Column1].[All]" dimensionUniqueName="[Calculation]" displayFolder="" count="0" memberValueDatatype="130" unbalanced="0"/>
    <cacheHierarchy uniqueName="[mtn_customer_churn].[Customer ID]" caption="Customer ID" attribute="1" defaultMemberUniqueName="[mtn_customer_churn].[Customer ID].[All]" allUniqueName="[mtn_customer_churn].[Customer ID].[All]" dimensionUniqueName="[mtn_customer_churn]" displayFolder="" count="0" memberValueDatatype="130" unbalanced="0"/>
    <cacheHierarchy uniqueName="[mtn_customer_churn].[Full Name]" caption="Full Name" attribute="1" defaultMemberUniqueName="[mtn_customer_churn].[Full Name].[All]" allUniqueName="[mtn_customer_churn].[Full Name].[All]" dimensionUniqueName="[mtn_customer_churn]" displayFolder="" count="0" memberValueDatatype="130" unbalanced="0"/>
    <cacheHierarchy uniqueName="[mtn_customer_churn].[Age]" caption="Age" attribute="1" defaultMemberUniqueName="[mtn_customer_churn].[Age].[All]" allUniqueName="[mtn_customer_churn].[Age].[All]" dimensionUniqueName="[mtn_customer_churn]" displayFolder="" count="0" memberValueDatatype="20" unbalanced="0"/>
    <cacheHierarchy uniqueName="[mtn_customer_churn].[State]" caption="State" attribute="1" defaultMemberUniqueName="[mtn_customer_churn].[State].[All]" allUniqueName="[mtn_customer_churn].[State].[All]" dimensionUniqueName="[mtn_customer_churn]" displayFolder="" count="2" memberValueDatatype="130" unbalanced="0">
      <fieldsUsage count="2">
        <fieldUsage x="-1"/>
        <fieldUsage x="2"/>
      </fieldsUsage>
    </cacheHierarchy>
    <cacheHierarchy uniqueName="[mtn_customer_churn].[Product_Name]" caption="Product_Name" attribute="1" defaultMemberUniqueName="[mtn_customer_churn].[Product_Name].[All]" allUniqueName="[mtn_customer_churn].[Product_Name].[All]" dimensionUniqueName="[mtn_customer_churn]" displayFolder="" count="2" memberValueDatatype="130" unbalanced="0"/>
    <cacheHierarchy uniqueName="[mtn_customer_churn].[Gender]" caption="Gender" attribute="1" defaultMemberUniqueName="[mtn_customer_churn].[Gender].[All]" allUniqueName="[mtn_customer_churn].[Gender].[All]" dimensionUniqueName="[mtn_customer_churn]" displayFolder="" count="0" memberValueDatatype="130" unbalanced="0"/>
    <cacheHierarchy uniqueName="[mtn_customer_churn].[Satisfaction Rate]" caption="Satisfaction Rate" attribute="1" defaultMemberUniqueName="[mtn_customer_churn].[Satisfaction Rate].[All]" allUniqueName="[mtn_customer_churn].[Satisfaction Rate].[All]" dimensionUniqueName="[mtn_customer_churn]" displayFolder="" count="0" memberValueDatatype="20" unbalanced="0"/>
    <cacheHierarchy uniqueName="[mtn_customer_churn].[Customer Review]" caption="Customer Review" attribute="1" defaultMemberUniqueName="[mtn_customer_churn].[Customer Review].[All]" allUniqueName="[mtn_customer_churn].[Customer Review].[All]" dimensionUniqueName="[mtn_customer_churn]" displayFolder="" count="0" memberValueDatatype="130" unbalanced="0"/>
    <cacheHierarchy uniqueName="[mtn_customer_churn].[Customer Tenure in months]" caption="Customer Tenure in months" attribute="1" defaultMemberUniqueName="[mtn_customer_churn].[Customer Tenure in months].[All]" allUniqueName="[mtn_customer_churn].[Customer Tenure in months].[All]" dimensionUniqueName="[mtn_customer_churn]" displayFolder="" count="0" memberValueDatatype="20" unbalanced="0"/>
    <cacheHierarchy uniqueName="[mtn_customer_churn].[Subscription Plan]" caption="Subscription Plan" attribute="1" defaultMemberUniqueName="[mtn_customer_churn].[Subscription Plan].[All]" allUniqueName="[mtn_customer_churn].[Subscription Plan].[All]" dimensionUniqueName="[mtn_customer_churn]" displayFolder="" count="2" memberValueDatatype="130" unbalanced="0">
      <fieldsUsage count="2">
        <fieldUsage x="-1"/>
        <fieldUsage x="0"/>
      </fieldsUsage>
    </cacheHierarchy>
    <cacheHierarchy uniqueName="[mtn_customer_churn].[Unit Price]" caption="Unit Price" attribute="1" defaultMemberUniqueName="[mtn_customer_churn].[Unit Price].[All]" allUniqueName="[mtn_customer_churn].[Unit Price].[All]" dimensionUniqueName="[mtn_customer_churn]" displayFolder="" count="0" memberValueDatatype="5" unbalanced="0"/>
    <cacheHierarchy uniqueName="[mtn_customer_churn].[Quantity Sold]" caption="Quantity Sold" attribute="1" defaultMemberUniqueName="[mtn_customer_churn].[Quantity Sold].[All]" allUniqueName="[mtn_customer_churn].[Quantity Sold].[All]" dimensionUniqueName="[mtn_customer_churn]" displayFolder="" count="0" memberValueDatatype="20" unbalanced="0"/>
    <cacheHierarchy uniqueName="[mtn_customer_churn].[Total Revenue]" caption="Total Revenue" attribute="1" defaultMemberUniqueName="[mtn_customer_churn].[Total Revenue].[All]" allUniqueName="[mtn_customer_churn].[Total Revenue].[All]" dimensionUniqueName="[mtn_customer_churn]" displayFolder="" count="0" memberValueDatatype="5" unbalanced="0"/>
    <cacheHierarchy uniqueName="[mtn_customer_churn].[Data Usage]" caption="Data Usage" attribute="1" defaultMemberUniqueName="[mtn_customer_churn].[Data Usage].[All]" allUniqueName="[mtn_customer_churn].[Data Usage].[All]" dimensionUniqueName="[mtn_customer_churn]" displayFolder="" count="0" memberValueDatatype="5" unbalanced="0"/>
    <cacheHierarchy uniqueName="[mtn_customer_churn].[Customer Churn Status]" caption="Customer Churn Status" attribute="1" defaultMemberUniqueName="[mtn_customer_churn].[Customer Churn Status].[All]" allUniqueName="[mtn_customer_churn].[Customer Churn Status].[All]" dimensionUniqueName="[mtn_customer_churn]" displayFolder="" count="0" memberValueDatatype="130" unbalanced="0"/>
    <cacheHierarchy uniqueName="[mtn_customer_churn].[Reasons for Churn]" caption="Reasons for Churn" attribute="1" defaultMemberUniqueName="[mtn_customer_churn].[Reasons for Churn].[All]" allUniqueName="[mtn_customer_churn].[Reasons for Churn].[All]" dimensionUniqueName="[mtn_customer_churn]" displayFolder="" count="0" memberValueDatatype="130" unbalanced="0"/>
    <cacheHierarchy uniqueName="[order date].[Order_date]" caption="Order_date" attribute="1" time="1" defaultMemberUniqueName="[order date].[Order_date].[All]" allUniqueName="[order date].[Order_date].[All]" dimensionUniqueName="[order date]" displayFolder="" count="0" memberValueDatatype="7" unbalanced="0"/>
    <cacheHierarchy uniqueName="[order date].[years]" caption="years" attribute="1" defaultMemberUniqueName="[order date].[years].[All]" allUniqueName="[order date].[years].[All]" dimensionUniqueName="[order date]" displayFolder="" count="2" memberValueDatatype="20" unbalanced="0"/>
    <cacheHierarchy uniqueName="[order date].[Months]" caption="Months" attribute="1" defaultMemberUniqueName="[order date].[Months].[All]" allUniqueName="[order date].[Months].[All]" dimensionUniqueName="[order date]" displayFolder="" count="2" memberValueDatatype="130" unbalanced="0">
      <fieldsUsage count="2">
        <fieldUsage x="-1"/>
        <fieldUsage x="3"/>
      </fieldsUsage>
    </cacheHierarchy>
    <cacheHierarchy uniqueName="[order date].[Months Num]" caption="Months Num" attribute="1" defaultMemberUniqueName="[order date].[Months Num].[All]" allUniqueName="[order date].[Months Num].[All]" dimensionUniqueName="[order date]" displayFolder="" count="0" memberValueDatatype="20" unbalanced="0"/>
    <cacheHierarchy uniqueName="[order date].[Weekdays]" caption="Weekdays" attribute="1" defaultMemberUniqueName="[order date].[Weekdays].[All]" allUniqueName="[order date].[Weekdays].[All]" dimensionUniqueName="[order date]" displayFolder="" count="0" memberValueDatatype="130" unbalanced="0"/>
    <cacheHierarchy uniqueName="[order date].[Days of the weeks]" caption="Days of the weeks" attribute="1" defaultMemberUniqueName="[order date].[Days of the weeks].[All]" allUniqueName="[order date].[Days of the weeks].[All]" dimensionUniqueName="[order date]" displayFolder="" count="0" memberValueDatatype="20" unbalanced="0"/>
    <cacheHierarchy uniqueName="[order date].[Weektype]" caption="Weektype" attribute="1" defaultMemberUniqueName="[order date].[Weektype].[All]" allUniqueName="[order date].[Weektype].[All]" dimensionUniqueName="[order date]" displayFolder="" count="0" memberValueDatatype="130" unbalanced="0"/>
    <cacheHierarchy uniqueName="[order date].[Quarter]" caption="Quarter" attribute="1" defaultMemberUniqueName="[order date].[Quarter].[All]" allUniqueName="[order date].[Quarter].[All]" dimensionUniqueName="[order date]" displayFolder="" count="0" memberValueDatatype="130" unbalanced="0"/>
    <cacheHierarchy uniqueName="[order date].[Week_Type]" caption="Week_Type" attribute="1" defaultMemberUniqueName="[order date].[Week_Type].[All]" allUniqueName="[order date].[Week_Type].[All]" dimensionUniqueName="[order date]" displayFolder="" count="0" memberValueDatatype="130" unbalanced="0"/>
    <cacheHierarchy uniqueName="[mtn_customer_churn].[Age_Group]" caption="Age_Group" attribute="1" defaultMemberUniqueName="[mtn_customer_churn].[Age_Group].[All]" allUniqueName="[mtn_customer_churn].[Age_Group].[All]" dimensionUniqueName="[mtn_customer_churn]" displayFolder="" count="0" memberValueDatatype="130" unbalanced="0" hidden="1"/>
    <cacheHierarchy uniqueName="[mtn_customer_churn].[Order_Date]" caption="Order_Date" attribute="1" time="1" defaultMemberUniqueName="[mtn_customer_churn].[Order_Date].[All]" allUniqueName="[mtn_customer_churn].[Order_Date].[All]" dimensionUniqueName="[mtn_customer_churn]" displayFolder="" count="0" memberValueDatatype="7" unbalanced="0" hidden="1"/>
    <cacheHierarchy uniqueName="[Measures].[Total Revenew]" caption="Total Revenew" measure="1" displayFolder="" measureGroup="Calculation" count="0" oneField="1">
      <fieldsUsage count="1">
        <fieldUsage x="1"/>
      </fieldsUsage>
    </cacheHierarchy>
    <cacheHierarchy uniqueName="[Measures].[Total Customers]" caption="Total Customers" measure="1" displayFolder="" measureGroup="Calculation" count="0"/>
    <cacheHierarchy uniqueName="[Measures].[Churned customer]" caption="Churned customer" measure="1" displayFolder="" measureGroup="Calculation" count="0"/>
    <cacheHierarchy uniqueName="[Measures].[Churn Rate]" caption="Churn Rate" measure="1" displayFolder="" measureGroup="Calculation" count="0"/>
    <cacheHierarchy uniqueName="[Measures].[Avg. Tenure (month)]" caption="Avg. Tenure (month)" measure="1" displayFolder="" measureGroup="Calculation" count="0"/>
    <cacheHierarchy uniqueName="[Measures].[Avg.Satisfaction Score]" caption="Avg.Satisfaction Score" measure="1" displayFolder="" measureGroup="Calculation" count="0"/>
    <cacheHierarchy uniqueName="[Measures].[product]" caption="product" measure="1" displayFolder="" measureGroup="Calculation" count="0"/>
    <cacheHierarchy uniqueName="[Measures].[Total Qty Sold]" caption="Total Qty Sold" measure="1" displayFolder="" measureGroup="Calculation" count="0"/>
    <cacheHierarchy uniqueName="[Measures].[Total Unit Sold]" caption="Total Unit Sold" measure="1" displayFolder="" measureGroup="Calculation" count="0"/>
    <cacheHierarchy uniqueName="[Measures].[Avg. Revenue per customer]" caption="Avg. Revenue per customer" measure="1" displayFolder="" measureGroup="mtn_customer_churn" count="0"/>
    <cacheHierarchy uniqueName="[Measures].[Avg. revenue per product]" caption="Avg. revenue per product" measure="1" displayFolder="" measureGroup="Calculation" count="0"/>
    <cacheHierarchy uniqueName="[Measures].[__XL_Count mtn_customer_churn]" caption="__XL_Count mtn_customer_churn" measure="1" displayFolder="" measureGroup="mtn_customer_churn" count="0" hidden="1"/>
    <cacheHierarchy uniqueName="[Measures].[__XL_Count Age-Group]" caption="__XL_Count Age-Group" measure="1" displayFolder="" measureGroup="Age-Group" count="0" hidden="1"/>
    <cacheHierarchy uniqueName="[Measures].[__XL_Count order date]" caption="__XL_Count order date" measure="1" displayFolder="" measureGroup="order date" count="0" hidden="1"/>
    <cacheHierarchy uniqueName="[Measures].[__XL_Count Calculation]" caption="__XL_Count Calculation" measure="1" displayFolder="" measureGroup="Calculation" count="0" hidden="1"/>
    <cacheHierarchy uniqueName="[Measures].[__No measures defined]" caption="__No measures defined" measure="1" displayFolder="" count="0" hidden="1"/>
    <cacheHierarchy uniqueName="[Measures].[Sum of Data Usage]" caption="Sum of Data Usage" measure="1" displayFolder="" measureGroup="mtn_customer_churn" count="0" hidden="1">
      <extLst>
        <ext xmlns:x15="http://schemas.microsoft.com/office/spreadsheetml/2010/11/main" uri="{B97F6D7D-B522-45F9-BDA1-12C45D357490}">
          <x15:cacheHierarchy aggregatedColumn="16"/>
        </ext>
      </extLst>
    </cacheHierarchy>
    <cacheHierarchy uniqueName="[Measures].[Sum of Quantity Sold]" caption="Sum of Quantity Sold" measure="1" displayFolder="" measureGroup="mtn_customer_churn" count="0" hidden="1">
      <extLst>
        <ext xmlns:x15="http://schemas.microsoft.com/office/spreadsheetml/2010/11/main" uri="{B97F6D7D-B522-45F9-BDA1-12C45D357490}">
          <x15:cacheHierarchy aggregatedColumn="14"/>
        </ext>
      </extLst>
    </cacheHierarchy>
    <cacheHierarchy uniqueName="[Measures].[Count of Customer Churn Status]" caption="Count of Customer Churn Status" measure="1" displayFolder="" measureGroup="mtn_customer_churn" count="0" hidden="1">
      <extLst>
        <ext xmlns:x15="http://schemas.microsoft.com/office/spreadsheetml/2010/11/main" uri="{B97F6D7D-B522-45F9-BDA1-12C45D357490}">
          <x15:cacheHierarchy aggregatedColumn="17"/>
        </ext>
      </extLst>
    </cacheHierarchy>
    <cacheHierarchy uniqueName="[Measures].[Sum of Days of the weeks]" caption="Sum of Days of the weeks" measure="1" displayFolder="" measureGroup="order date" count="0" hidden="1">
      <extLst>
        <ext xmlns:x15="http://schemas.microsoft.com/office/spreadsheetml/2010/11/main" uri="{B97F6D7D-B522-45F9-BDA1-12C45D357490}">
          <x15:cacheHierarchy aggregatedColumn="24"/>
        </ext>
      </extLst>
    </cacheHierarchy>
  </cacheHierarchies>
  <kpis count="0"/>
  <dimensions count="5">
    <dimension name="Age-Group" uniqueName="[Age-Group]" caption="Age-Group"/>
    <dimension name="Calculation" uniqueName="[Calculation]" caption="Calculation"/>
    <dimension measure="1" name="Measures" uniqueName="[Measures]" caption="Measures"/>
    <dimension name="mtn_customer_churn" uniqueName="[mtn_customer_churn]" caption="mtn_customer_churn"/>
    <dimension name="order date" uniqueName="[order date]" caption="order date"/>
  </dimensions>
  <measureGroups count="4">
    <measureGroup name="Age-Group" caption="Age-Group"/>
    <measureGroup name="Calculation" caption="Calculation"/>
    <measureGroup name="mtn_customer_churn" caption="mtn_customer_churn"/>
    <measureGroup name="order date" caption="order dat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mah" refreshedDate="46057.838583101853" backgroundQuery="1" createdVersion="8" refreshedVersion="8" minRefreshableVersion="3" recordCount="0" supportSubquery="1" supportAdvancedDrill="1" xr:uid="{AF1009A6-30F4-4DD9-83AA-AB69D874DDCF}">
  <cacheSource type="external" connectionId="5"/>
  <cacheFields count="3">
    <cacheField name="[mtn_customer_churn].[Subscription Plan].[Subscription Plan]" caption="Subscription Plan" numFmtId="0" hierarchy="12" level="1">
      <sharedItems count="10">
        <s v="10GB+10mins Monthly Plan"/>
        <s v="12.5GB Monthly Plan"/>
        <s v="120GB Monthly Broadband Plan"/>
        <s v="150GB FUP Monthly Unlimited"/>
        <s v="165GB Monthly Plan"/>
        <s v="25GB Monthly Plan"/>
        <s v="300GB FUP Monthly Unlimited"/>
        <s v="30GB Monthly Broadband Plan"/>
        <s v="60GB Monthly Broadband Plan"/>
        <s v="65GB Monthly Plan"/>
      </sharedItems>
    </cacheField>
    <cacheField name="[Measures].[Sum of Data Usage]" caption="Sum of Data Usage" numFmtId="0" hierarchy="46" level="32767"/>
    <cacheField name="[order date].[Months].[Months]" caption="Months" numFmtId="0" hierarchy="21" level="1">
      <sharedItems containsSemiMixedTypes="0" containsNonDate="0" containsString="0"/>
    </cacheField>
  </cacheFields>
  <cacheHierarchies count="50">
    <cacheHierarchy uniqueName="[Age-Group].[Age_Group]" caption="Age_Group" attribute="1" defaultMemberUniqueName="[Age-Group].[Age_Group].[All]" allUniqueName="[Age-Group].[Age_Group].[All]" dimensionUniqueName="[Age-Group]" displayFolder="" count="0" memberValueDatatype="130" unbalanced="0"/>
    <cacheHierarchy uniqueName="[Age-Group].[Age_num]" caption="Age_num" attribute="1" defaultMemberUniqueName="[Age-Group].[Age_num].[All]" allUniqueName="[Age-Group].[Age_num].[All]" dimensionUniqueName="[Age-Group]" displayFolder="" count="0" memberValueDatatype="130" unbalanced="0"/>
    <cacheHierarchy uniqueName="[Calculation].[Column1]" caption="Column1" attribute="1" defaultMemberUniqueName="[Calculation].[Column1].[All]" allUniqueName="[Calculation].[Column1].[All]" dimensionUniqueName="[Calculation]" displayFolder="" count="0" memberValueDatatype="130" unbalanced="0"/>
    <cacheHierarchy uniqueName="[mtn_customer_churn].[Customer ID]" caption="Customer ID" attribute="1" defaultMemberUniqueName="[mtn_customer_churn].[Customer ID].[All]" allUniqueName="[mtn_customer_churn].[Customer ID].[All]" dimensionUniqueName="[mtn_customer_churn]" displayFolder="" count="0" memberValueDatatype="130" unbalanced="0"/>
    <cacheHierarchy uniqueName="[mtn_customer_churn].[Full Name]" caption="Full Name" attribute="1" defaultMemberUniqueName="[mtn_customer_churn].[Full Name].[All]" allUniqueName="[mtn_customer_churn].[Full Name].[All]" dimensionUniqueName="[mtn_customer_churn]" displayFolder="" count="0" memberValueDatatype="130" unbalanced="0"/>
    <cacheHierarchy uniqueName="[mtn_customer_churn].[Age]" caption="Age" attribute="1" defaultMemberUniqueName="[mtn_customer_churn].[Age].[All]" allUniqueName="[mtn_customer_churn].[Age].[All]" dimensionUniqueName="[mtn_customer_churn]" displayFolder="" count="0" memberValueDatatype="20" unbalanced="0"/>
    <cacheHierarchy uniqueName="[mtn_customer_churn].[State]" caption="State" attribute="1" defaultMemberUniqueName="[mtn_customer_churn].[State].[All]" allUniqueName="[mtn_customer_churn].[State].[All]" dimensionUniqueName="[mtn_customer_churn]" displayFolder="" count="0" memberValueDatatype="130" unbalanced="0"/>
    <cacheHierarchy uniqueName="[mtn_customer_churn].[Product_Name]" caption="Product_Name" attribute="1" defaultMemberUniqueName="[mtn_customer_churn].[Product_Name].[All]" allUniqueName="[mtn_customer_churn].[Product_Name].[All]" dimensionUniqueName="[mtn_customer_churn]" displayFolder="" count="2" memberValueDatatype="130" unbalanced="0"/>
    <cacheHierarchy uniqueName="[mtn_customer_churn].[Gender]" caption="Gender" attribute="1" defaultMemberUniqueName="[mtn_customer_churn].[Gender].[All]" allUniqueName="[mtn_customer_churn].[Gender].[All]" dimensionUniqueName="[mtn_customer_churn]" displayFolder="" count="0" memberValueDatatype="130" unbalanced="0"/>
    <cacheHierarchy uniqueName="[mtn_customer_churn].[Satisfaction Rate]" caption="Satisfaction Rate" attribute="1" defaultMemberUniqueName="[mtn_customer_churn].[Satisfaction Rate].[All]" allUniqueName="[mtn_customer_churn].[Satisfaction Rate].[All]" dimensionUniqueName="[mtn_customer_churn]" displayFolder="" count="0" memberValueDatatype="20" unbalanced="0"/>
    <cacheHierarchy uniqueName="[mtn_customer_churn].[Customer Review]" caption="Customer Review" attribute="1" defaultMemberUniqueName="[mtn_customer_churn].[Customer Review].[All]" allUniqueName="[mtn_customer_churn].[Customer Review].[All]" dimensionUniqueName="[mtn_customer_churn]" displayFolder="" count="0" memberValueDatatype="130" unbalanced="0"/>
    <cacheHierarchy uniqueName="[mtn_customer_churn].[Customer Tenure in months]" caption="Customer Tenure in months" attribute="1" defaultMemberUniqueName="[mtn_customer_churn].[Customer Tenure in months].[All]" allUniqueName="[mtn_customer_churn].[Customer Tenure in months].[All]" dimensionUniqueName="[mtn_customer_churn]" displayFolder="" count="0" memberValueDatatype="20" unbalanced="0"/>
    <cacheHierarchy uniqueName="[mtn_customer_churn].[Subscription Plan]" caption="Subscription Plan" attribute="1" defaultMemberUniqueName="[mtn_customer_churn].[Subscription Plan].[All]" allUniqueName="[mtn_customer_churn].[Subscription Plan].[All]" dimensionUniqueName="[mtn_customer_churn]" displayFolder="" count="2" memberValueDatatype="130" unbalanced="0">
      <fieldsUsage count="2">
        <fieldUsage x="-1"/>
        <fieldUsage x="0"/>
      </fieldsUsage>
    </cacheHierarchy>
    <cacheHierarchy uniqueName="[mtn_customer_churn].[Unit Price]" caption="Unit Price" attribute="1" defaultMemberUniqueName="[mtn_customer_churn].[Unit Price].[All]" allUniqueName="[mtn_customer_churn].[Unit Price].[All]" dimensionUniqueName="[mtn_customer_churn]" displayFolder="" count="0" memberValueDatatype="5" unbalanced="0"/>
    <cacheHierarchy uniqueName="[mtn_customer_churn].[Quantity Sold]" caption="Quantity Sold" attribute="1" defaultMemberUniqueName="[mtn_customer_churn].[Quantity Sold].[All]" allUniqueName="[mtn_customer_churn].[Quantity Sold].[All]" dimensionUniqueName="[mtn_customer_churn]" displayFolder="" count="0" memberValueDatatype="20" unbalanced="0"/>
    <cacheHierarchy uniqueName="[mtn_customer_churn].[Total Revenue]" caption="Total Revenue" attribute="1" defaultMemberUniqueName="[mtn_customer_churn].[Total Revenue].[All]" allUniqueName="[mtn_customer_churn].[Total Revenue].[All]" dimensionUniqueName="[mtn_customer_churn]" displayFolder="" count="0" memberValueDatatype="5" unbalanced="0"/>
    <cacheHierarchy uniqueName="[mtn_customer_churn].[Data Usage]" caption="Data Usage" attribute="1" defaultMemberUniqueName="[mtn_customer_churn].[Data Usage].[All]" allUniqueName="[mtn_customer_churn].[Data Usage].[All]" dimensionUniqueName="[mtn_customer_churn]" displayFolder="" count="0" memberValueDatatype="5" unbalanced="0"/>
    <cacheHierarchy uniqueName="[mtn_customer_churn].[Customer Churn Status]" caption="Customer Churn Status" attribute="1" defaultMemberUniqueName="[mtn_customer_churn].[Customer Churn Status].[All]" allUniqueName="[mtn_customer_churn].[Customer Churn Status].[All]" dimensionUniqueName="[mtn_customer_churn]" displayFolder="" count="0" memberValueDatatype="130" unbalanced="0"/>
    <cacheHierarchy uniqueName="[mtn_customer_churn].[Reasons for Churn]" caption="Reasons for Churn" attribute="1" defaultMemberUniqueName="[mtn_customer_churn].[Reasons for Churn].[All]" allUniqueName="[mtn_customer_churn].[Reasons for Churn].[All]" dimensionUniqueName="[mtn_customer_churn]" displayFolder="" count="0" memberValueDatatype="130" unbalanced="0"/>
    <cacheHierarchy uniqueName="[order date].[Order_date]" caption="Order_date" attribute="1" time="1" defaultMemberUniqueName="[order date].[Order_date].[All]" allUniqueName="[order date].[Order_date].[All]" dimensionUniqueName="[order date]" displayFolder="" count="0" memberValueDatatype="7" unbalanced="0"/>
    <cacheHierarchy uniqueName="[order date].[years]" caption="years" attribute="1" defaultMemberUniqueName="[order date].[years].[All]" allUniqueName="[order date].[years].[All]" dimensionUniqueName="[order date]" displayFolder="" count="2" memberValueDatatype="20" unbalanced="0"/>
    <cacheHierarchy uniqueName="[order date].[Months]" caption="Months" attribute="1" defaultMemberUniqueName="[order date].[Months].[All]" allUniqueName="[order date].[Months].[All]" dimensionUniqueName="[order date]" displayFolder="" count="2" memberValueDatatype="130" unbalanced="0">
      <fieldsUsage count="2">
        <fieldUsage x="-1"/>
        <fieldUsage x="2"/>
      </fieldsUsage>
    </cacheHierarchy>
    <cacheHierarchy uniqueName="[order date].[Months Num]" caption="Months Num" attribute="1" defaultMemberUniqueName="[order date].[Months Num].[All]" allUniqueName="[order date].[Months Num].[All]" dimensionUniqueName="[order date]" displayFolder="" count="0" memberValueDatatype="20" unbalanced="0"/>
    <cacheHierarchy uniqueName="[order date].[Weekdays]" caption="Weekdays" attribute="1" defaultMemberUniqueName="[order date].[Weekdays].[All]" allUniqueName="[order date].[Weekdays].[All]" dimensionUniqueName="[order date]" displayFolder="" count="0" memberValueDatatype="130" unbalanced="0"/>
    <cacheHierarchy uniqueName="[order date].[Days of the weeks]" caption="Days of the weeks" attribute="1" defaultMemberUniqueName="[order date].[Days of the weeks].[All]" allUniqueName="[order date].[Days of the weeks].[All]" dimensionUniqueName="[order date]" displayFolder="" count="0" memberValueDatatype="20" unbalanced="0"/>
    <cacheHierarchy uniqueName="[order date].[Weektype]" caption="Weektype" attribute="1" defaultMemberUniqueName="[order date].[Weektype].[All]" allUniqueName="[order date].[Weektype].[All]" dimensionUniqueName="[order date]" displayFolder="" count="0" memberValueDatatype="130" unbalanced="0"/>
    <cacheHierarchy uniqueName="[order date].[Quarter]" caption="Quarter" attribute="1" defaultMemberUniqueName="[order date].[Quarter].[All]" allUniqueName="[order date].[Quarter].[All]" dimensionUniqueName="[order date]" displayFolder="" count="0" memberValueDatatype="130" unbalanced="0"/>
    <cacheHierarchy uniqueName="[order date].[Week_Type]" caption="Week_Type" attribute="1" defaultMemberUniqueName="[order date].[Week_Type].[All]" allUniqueName="[order date].[Week_Type].[All]" dimensionUniqueName="[order date]" displayFolder="" count="0" memberValueDatatype="130" unbalanced="0"/>
    <cacheHierarchy uniqueName="[mtn_customer_churn].[Age_Group]" caption="Age_Group" attribute="1" defaultMemberUniqueName="[mtn_customer_churn].[Age_Group].[All]" allUniqueName="[mtn_customer_churn].[Age_Group].[All]" dimensionUniqueName="[mtn_customer_churn]" displayFolder="" count="0" memberValueDatatype="130" unbalanced="0" hidden="1"/>
    <cacheHierarchy uniqueName="[mtn_customer_churn].[Order_Date]" caption="Order_Date" attribute="1" time="1" defaultMemberUniqueName="[mtn_customer_churn].[Order_Date].[All]" allUniqueName="[mtn_customer_churn].[Order_Date].[All]" dimensionUniqueName="[mtn_customer_churn]" displayFolder="" count="0" memberValueDatatype="7" unbalanced="0" hidden="1"/>
    <cacheHierarchy uniqueName="[Measures].[Total Revenew]" caption="Total Revenew" measure="1" displayFolder="" measureGroup="Calculation" count="0"/>
    <cacheHierarchy uniqueName="[Measures].[Total Customers]" caption="Total Customers" measure="1" displayFolder="" measureGroup="Calculation" count="0"/>
    <cacheHierarchy uniqueName="[Measures].[Churned customer]" caption="Churned customer" measure="1" displayFolder="" measureGroup="Calculation" count="0"/>
    <cacheHierarchy uniqueName="[Measures].[Churn Rate]" caption="Churn Rate" measure="1" displayFolder="" measureGroup="Calculation" count="0"/>
    <cacheHierarchy uniqueName="[Measures].[Avg. Tenure (month)]" caption="Avg. Tenure (month)" measure="1" displayFolder="" measureGroup="Calculation" count="0"/>
    <cacheHierarchy uniqueName="[Measures].[Avg.Satisfaction Score]" caption="Avg.Satisfaction Score" measure="1" displayFolder="" measureGroup="Calculation" count="0"/>
    <cacheHierarchy uniqueName="[Measures].[product]" caption="product" measure="1" displayFolder="" measureGroup="Calculation" count="0"/>
    <cacheHierarchy uniqueName="[Measures].[Total Qty Sold]" caption="Total Qty Sold" measure="1" displayFolder="" measureGroup="Calculation" count="0"/>
    <cacheHierarchy uniqueName="[Measures].[Total Unit Sold]" caption="Total Unit Sold" measure="1" displayFolder="" measureGroup="Calculation" count="0"/>
    <cacheHierarchy uniqueName="[Measures].[Avg. Revenue per customer]" caption="Avg. Revenue per customer" measure="1" displayFolder="" measureGroup="mtn_customer_churn" count="0"/>
    <cacheHierarchy uniqueName="[Measures].[Avg. revenue per product]" caption="Avg. revenue per product" measure="1" displayFolder="" measureGroup="Calculation" count="0"/>
    <cacheHierarchy uniqueName="[Measures].[__XL_Count mtn_customer_churn]" caption="__XL_Count mtn_customer_churn" measure="1" displayFolder="" measureGroup="mtn_customer_churn" count="0" hidden="1"/>
    <cacheHierarchy uniqueName="[Measures].[__XL_Count Age-Group]" caption="__XL_Count Age-Group" measure="1" displayFolder="" measureGroup="Age-Group" count="0" hidden="1"/>
    <cacheHierarchy uniqueName="[Measures].[__XL_Count order date]" caption="__XL_Count order date" measure="1" displayFolder="" measureGroup="order date" count="0" hidden="1"/>
    <cacheHierarchy uniqueName="[Measures].[__XL_Count Calculation]" caption="__XL_Count Calculation" measure="1" displayFolder="" measureGroup="Calculation" count="0" hidden="1"/>
    <cacheHierarchy uniqueName="[Measures].[__No measures defined]" caption="__No measures defined" measure="1" displayFolder="" count="0" hidden="1"/>
    <cacheHierarchy uniqueName="[Measures].[Sum of Data Usage]" caption="Sum of Data Usage" measure="1" displayFolder="" measureGroup="mtn_customer_churn"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Quantity Sold]" caption="Sum of Quantity Sold" measure="1" displayFolder="" measureGroup="mtn_customer_churn" count="0" hidden="1">
      <extLst>
        <ext xmlns:x15="http://schemas.microsoft.com/office/spreadsheetml/2010/11/main" uri="{B97F6D7D-B522-45F9-BDA1-12C45D357490}">
          <x15:cacheHierarchy aggregatedColumn="14"/>
        </ext>
      </extLst>
    </cacheHierarchy>
    <cacheHierarchy uniqueName="[Measures].[Count of Customer Churn Status]" caption="Count of Customer Churn Status" measure="1" displayFolder="" measureGroup="mtn_customer_churn" count="0" hidden="1">
      <extLst>
        <ext xmlns:x15="http://schemas.microsoft.com/office/spreadsheetml/2010/11/main" uri="{B97F6D7D-B522-45F9-BDA1-12C45D357490}">
          <x15:cacheHierarchy aggregatedColumn="17"/>
        </ext>
      </extLst>
    </cacheHierarchy>
    <cacheHierarchy uniqueName="[Measures].[Sum of Days of the weeks]" caption="Sum of Days of the weeks" measure="1" displayFolder="" measureGroup="order date" count="0" hidden="1">
      <extLst>
        <ext xmlns:x15="http://schemas.microsoft.com/office/spreadsheetml/2010/11/main" uri="{B97F6D7D-B522-45F9-BDA1-12C45D357490}">
          <x15:cacheHierarchy aggregatedColumn="24"/>
        </ext>
      </extLst>
    </cacheHierarchy>
  </cacheHierarchies>
  <kpis count="0"/>
  <dimensions count="5">
    <dimension name="Age-Group" uniqueName="[Age-Group]" caption="Age-Group"/>
    <dimension name="Calculation" uniqueName="[Calculation]" caption="Calculation"/>
    <dimension measure="1" name="Measures" uniqueName="[Measures]" caption="Measures"/>
    <dimension name="mtn_customer_churn" uniqueName="[mtn_customer_churn]" caption="mtn_customer_churn"/>
    <dimension name="order date" uniqueName="[order date]" caption="order date"/>
  </dimensions>
  <measureGroups count="4">
    <measureGroup name="Age-Group" caption="Age-Group"/>
    <measureGroup name="Calculation" caption="Calculation"/>
    <measureGroup name="mtn_customer_churn" caption="mtn_customer_churn"/>
    <measureGroup name="order date" caption="order dat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mah" refreshedDate="46057.838584259262" backgroundQuery="1" createdVersion="8" refreshedVersion="8" minRefreshableVersion="3" recordCount="0" supportSubquery="1" supportAdvancedDrill="1" xr:uid="{049BFFFC-F723-435F-8C3B-4B20F059C777}">
  <cacheSource type="external" connectionId="5"/>
  <cacheFields count="4">
    <cacheField name="[mtn_customer_churn].[Product_Name].[Product_Name]" caption="Product_Name" numFmtId="0" hierarchy="7" level="1">
      <sharedItems count="4">
        <s v="4G Router"/>
        <s v="5G Broadband Router"/>
        <s v="Broadband MiFi"/>
        <s v="Mobile SIM Card"/>
      </sharedItems>
    </cacheField>
    <cacheField name="[Measures].[Total Revenew]" caption="Total Revenew" numFmtId="0" hierarchy="30" level="32767"/>
    <cacheField name="[mtn_customer_churn].[Subscription Plan].[Subscription Plan]" caption="Subscription Plan" numFmtId="0" hierarchy="12" level="1">
      <sharedItems count="10">
        <s v="1.5GB 2-Day Plan"/>
        <s v="10GB+10mins Monthly Plan"/>
        <s v="12.5GB Monthly Plan"/>
        <s v="16.5GB+10mins Monthly Plan"/>
        <s v="1GB+1.5mins Daily Plan"/>
        <s v="2.5GB 2-Day Plan"/>
        <s v="20GB Monthly Plan"/>
        <s v="3.2GB 2-Day Plan"/>
        <s v="500MB Daily Plan"/>
        <s v="7GB Monthly Plan"/>
      </sharedItems>
    </cacheField>
    <cacheField name="[order date].[Months].[Months]" caption="Months" numFmtId="0" hierarchy="21" level="1">
      <sharedItems containsSemiMixedTypes="0" containsNonDate="0" containsString="0"/>
    </cacheField>
  </cacheFields>
  <cacheHierarchies count="50">
    <cacheHierarchy uniqueName="[Age-Group].[Age_Group]" caption="Age_Group" attribute="1" defaultMemberUniqueName="[Age-Group].[Age_Group].[All]" allUniqueName="[Age-Group].[Age_Group].[All]" dimensionUniqueName="[Age-Group]" displayFolder="" count="0" memberValueDatatype="130" unbalanced="0"/>
    <cacheHierarchy uniqueName="[Age-Group].[Age_num]" caption="Age_num" attribute="1" defaultMemberUniqueName="[Age-Group].[Age_num].[All]" allUniqueName="[Age-Group].[Age_num].[All]" dimensionUniqueName="[Age-Group]" displayFolder="" count="0" memberValueDatatype="130" unbalanced="0"/>
    <cacheHierarchy uniqueName="[Calculation].[Column1]" caption="Column1" attribute="1" defaultMemberUniqueName="[Calculation].[Column1].[All]" allUniqueName="[Calculation].[Column1].[All]" dimensionUniqueName="[Calculation]" displayFolder="" count="0" memberValueDatatype="130" unbalanced="0"/>
    <cacheHierarchy uniqueName="[mtn_customer_churn].[Customer ID]" caption="Customer ID" attribute="1" defaultMemberUniqueName="[mtn_customer_churn].[Customer ID].[All]" allUniqueName="[mtn_customer_churn].[Customer ID].[All]" dimensionUniqueName="[mtn_customer_churn]" displayFolder="" count="0" memberValueDatatype="130" unbalanced="0"/>
    <cacheHierarchy uniqueName="[mtn_customer_churn].[Full Name]" caption="Full Name" attribute="1" defaultMemberUniqueName="[mtn_customer_churn].[Full Name].[All]" allUniqueName="[mtn_customer_churn].[Full Name].[All]" dimensionUniqueName="[mtn_customer_churn]" displayFolder="" count="0" memberValueDatatype="130" unbalanced="0"/>
    <cacheHierarchy uniqueName="[mtn_customer_churn].[Age]" caption="Age" attribute="1" defaultMemberUniqueName="[mtn_customer_churn].[Age].[All]" allUniqueName="[mtn_customer_churn].[Age].[All]" dimensionUniqueName="[mtn_customer_churn]" displayFolder="" count="0" memberValueDatatype="20" unbalanced="0"/>
    <cacheHierarchy uniqueName="[mtn_customer_churn].[State]" caption="State" attribute="1" defaultMemberUniqueName="[mtn_customer_churn].[State].[All]" allUniqueName="[mtn_customer_churn].[State].[All]" dimensionUniqueName="[mtn_customer_churn]" displayFolder="" count="0" memberValueDatatype="130" unbalanced="0"/>
    <cacheHierarchy uniqueName="[mtn_customer_churn].[Product_Name]" caption="Product_Name" attribute="1" defaultMemberUniqueName="[mtn_customer_churn].[Product_Name].[All]" allUniqueName="[mtn_customer_churn].[Product_Name].[All]" dimensionUniqueName="[mtn_customer_churn]" displayFolder="" count="2" memberValueDatatype="130" unbalanced="0">
      <fieldsUsage count="2">
        <fieldUsage x="-1"/>
        <fieldUsage x="0"/>
      </fieldsUsage>
    </cacheHierarchy>
    <cacheHierarchy uniqueName="[mtn_customer_churn].[Gender]" caption="Gender" attribute="1" defaultMemberUniqueName="[mtn_customer_churn].[Gender].[All]" allUniqueName="[mtn_customer_churn].[Gender].[All]" dimensionUniqueName="[mtn_customer_churn]" displayFolder="" count="0" memberValueDatatype="130" unbalanced="0"/>
    <cacheHierarchy uniqueName="[mtn_customer_churn].[Satisfaction Rate]" caption="Satisfaction Rate" attribute="1" defaultMemberUniqueName="[mtn_customer_churn].[Satisfaction Rate].[All]" allUniqueName="[mtn_customer_churn].[Satisfaction Rate].[All]" dimensionUniqueName="[mtn_customer_churn]" displayFolder="" count="0" memberValueDatatype="20" unbalanced="0"/>
    <cacheHierarchy uniqueName="[mtn_customer_churn].[Customer Review]" caption="Customer Review" attribute="1" defaultMemberUniqueName="[mtn_customer_churn].[Customer Review].[All]" allUniqueName="[mtn_customer_churn].[Customer Review].[All]" dimensionUniqueName="[mtn_customer_churn]" displayFolder="" count="0" memberValueDatatype="130" unbalanced="0"/>
    <cacheHierarchy uniqueName="[mtn_customer_churn].[Customer Tenure in months]" caption="Customer Tenure in months" attribute="1" defaultMemberUniqueName="[mtn_customer_churn].[Customer Tenure in months].[All]" allUniqueName="[mtn_customer_churn].[Customer Tenure in months].[All]" dimensionUniqueName="[mtn_customer_churn]" displayFolder="" count="0" memberValueDatatype="20" unbalanced="0"/>
    <cacheHierarchy uniqueName="[mtn_customer_churn].[Subscription Plan]" caption="Subscription Plan" attribute="1" defaultMemberUniqueName="[mtn_customer_churn].[Subscription Plan].[All]" allUniqueName="[mtn_customer_churn].[Subscription Plan].[All]" dimensionUniqueName="[mtn_customer_churn]" displayFolder="" count="2" memberValueDatatype="130" unbalanced="0">
      <fieldsUsage count="2">
        <fieldUsage x="-1"/>
        <fieldUsage x="2"/>
      </fieldsUsage>
    </cacheHierarchy>
    <cacheHierarchy uniqueName="[mtn_customer_churn].[Unit Price]" caption="Unit Price" attribute="1" defaultMemberUniqueName="[mtn_customer_churn].[Unit Price].[All]" allUniqueName="[mtn_customer_churn].[Unit Price].[All]" dimensionUniqueName="[mtn_customer_churn]" displayFolder="" count="0" memberValueDatatype="5" unbalanced="0"/>
    <cacheHierarchy uniqueName="[mtn_customer_churn].[Quantity Sold]" caption="Quantity Sold" attribute="1" defaultMemberUniqueName="[mtn_customer_churn].[Quantity Sold].[All]" allUniqueName="[mtn_customer_churn].[Quantity Sold].[All]" dimensionUniqueName="[mtn_customer_churn]" displayFolder="" count="0" memberValueDatatype="20" unbalanced="0"/>
    <cacheHierarchy uniqueName="[mtn_customer_churn].[Total Revenue]" caption="Total Revenue" attribute="1" defaultMemberUniqueName="[mtn_customer_churn].[Total Revenue].[All]" allUniqueName="[mtn_customer_churn].[Total Revenue].[All]" dimensionUniqueName="[mtn_customer_churn]" displayFolder="" count="0" memberValueDatatype="5" unbalanced="0"/>
    <cacheHierarchy uniqueName="[mtn_customer_churn].[Data Usage]" caption="Data Usage" attribute="1" defaultMemberUniqueName="[mtn_customer_churn].[Data Usage].[All]" allUniqueName="[mtn_customer_churn].[Data Usage].[All]" dimensionUniqueName="[mtn_customer_churn]" displayFolder="" count="2" memberValueDatatype="5" unbalanced="0"/>
    <cacheHierarchy uniqueName="[mtn_customer_churn].[Customer Churn Status]" caption="Customer Churn Status" attribute="1" defaultMemberUniqueName="[mtn_customer_churn].[Customer Churn Status].[All]" allUniqueName="[mtn_customer_churn].[Customer Churn Status].[All]" dimensionUniqueName="[mtn_customer_churn]" displayFolder="" count="0" memberValueDatatype="130" unbalanced="0"/>
    <cacheHierarchy uniqueName="[mtn_customer_churn].[Reasons for Churn]" caption="Reasons for Churn" attribute="1" defaultMemberUniqueName="[mtn_customer_churn].[Reasons for Churn].[All]" allUniqueName="[mtn_customer_churn].[Reasons for Churn].[All]" dimensionUniqueName="[mtn_customer_churn]" displayFolder="" count="0" memberValueDatatype="130" unbalanced="0"/>
    <cacheHierarchy uniqueName="[order date].[Order_date]" caption="Order_date" attribute="1" time="1" defaultMemberUniqueName="[order date].[Order_date].[All]" allUniqueName="[order date].[Order_date].[All]" dimensionUniqueName="[order date]" displayFolder="" count="0" memberValueDatatype="7" unbalanced="0"/>
    <cacheHierarchy uniqueName="[order date].[years]" caption="years" attribute="1" defaultMemberUniqueName="[order date].[years].[All]" allUniqueName="[order date].[years].[All]" dimensionUniqueName="[order date]" displayFolder="" count="2" memberValueDatatype="20" unbalanced="0"/>
    <cacheHierarchy uniqueName="[order date].[Months]" caption="Months" attribute="1" defaultMemberUniqueName="[order date].[Months].[All]" allUniqueName="[order date].[Months].[All]" dimensionUniqueName="[order date]" displayFolder="" count="2" memberValueDatatype="130" unbalanced="0">
      <fieldsUsage count="2">
        <fieldUsage x="-1"/>
        <fieldUsage x="3"/>
      </fieldsUsage>
    </cacheHierarchy>
    <cacheHierarchy uniqueName="[order date].[Months Num]" caption="Months Num" attribute="1" defaultMemberUniqueName="[order date].[Months Num].[All]" allUniqueName="[order date].[Months Num].[All]" dimensionUniqueName="[order date]" displayFolder="" count="0" memberValueDatatype="20" unbalanced="0"/>
    <cacheHierarchy uniqueName="[order date].[Weekdays]" caption="Weekdays" attribute="1" defaultMemberUniqueName="[order date].[Weekdays].[All]" allUniqueName="[order date].[Weekdays].[All]" dimensionUniqueName="[order date]" displayFolder="" count="0" memberValueDatatype="130" unbalanced="0"/>
    <cacheHierarchy uniqueName="[order date].[Days of the weeks]" caption="Days of the weeks" attribute="1" defaultMemberUniqueName="[order date].[Days of the weeks].[All]" allUniqueName="[order date].[Days of the weeks].[All]" dimensionUniqueName="[order date]" displayFolder="" count="0" memberValueDatatype="20" unbalanced="0"/>
    <cacheHierarchy uniqueName="[order date].[Weektype]" caption="Weektype" attribute="1" defaultMemberUniqueName="[order date].[Weektype].[All]" allUniqueName="[order date].[Weektype].[All]" dimensionUniqueName="[order date]" displayFolder="" count="0" memberValueDatatype="130" unbalanced="0"/>
    <cacheHierarchy uniqueName="[order date].[Quarter]" caption="Quarter" attribute="1" defaultMemberUniqueName="[order date].[Quarter].[All]" allUniqueName="[order date].[Quarter].[All]" dimensionUniqueName="[order date]" displayFolder="" count="0" memberValueDatatype="130" unbalanced="0"/>
    <cacheHierarchy uniqueName="[order date].[Week_Type]" caption="Week_Type" attribute="1" defaultMemberUniqueName="[order date].[Week_Type].[All]" allUniqueName="[order date].[Week_Type].[All]" dimensionUniqueName="[order date]" displayFolder="" count="0" memberValueDatatype="130" unbalanced="0"/>
    <cacheHierarchy uniqueName="[mtn_customer_churn].[Age_Group]" caption="Age_Group" attribute="1" defaultMemberUniqueName="[mtn_customer_churn].[Age_Group].[All]" allUniqueName="[mtn_customer_churn].[Age_Group].[All]" dimensionUniqueName="[mtn_customer_churn]" displayFolder="" count="0" memberValueDatatype="130" unbalanced="0" hidden="1"/>
    <cacheHierarchy uniqueName="[mtn_customer_churn].[Order_Date]" caption="Order_Date" attribute="1" time="1" defaultMemberUniqueName="[mtn_customer_churn].[Order_Date].[All]" allUniqueName="[mtn_customer_churn].[Order_Date].[All]" dimensionUniqueName="[mtn_customer_churn]" displayFolder="" count="0" memberValueDatatype="7" unbalanced="0" hidden="1"/>
    <cacheHierarchy uniqueName="[Measures].[Total Revenew]" caption="Total Revenew" measure="1" displayFolder="" measureGroup="Calculation" count="0" oneField="1">
      <fieldsUsage count="1">
        <fieldUsage x="1"/>
      </fieldsUsage>
    </cacheHierarchy>
    <cacheHierarchy uniqueName="[Measures].[Total Customers]" caption="Total Customers" measure="1" displayFolder="" measureGroup="Calculation" count="0"/>
    <cacheHierarchy uniqueName="[Measures].[Churned customer]" caption="Churned customer" measure="1" displayFolder="" measureGroup="Calculation" count="0"/>
    <cacheHierarchy uniqueName="[Measures].[Churn Rate]" caption="Churn Rate" measure="1" displayFolder="" measureGroup="Calculation" count="0"/>
    <cacheHierarchy uniqueName="[Measures].[Avg. Tenure (month)]" caption="Avg. Tenure (month)" measure="1" displayFolder="" measureGroup="Calculation" count="0"/>
    <cacheHierarchy uniqueName="[Measures].[Avg.Satisfaction Score]" caption="Avg.Satisfaction Score" measure="1" displayFolder="" measureGroup="Calculation" count="0"/>
    <cacheHierarchy uniqueName="[Measures].[product]" caption="product" measure="1" displayFolder="" measureGroup="Calculation" count="0"/>
    <cacheHierarchy uniqueName="[Measures].[Total Qty Sold]" caption="Total Qty Sold" measure="1" displayFolder="" measureGroup="Calculation" count="0"/>
    <cacheHierarchy uniqueName="[Measures].[Total Unit Sold]" caption="Total Unit Sold" measure="1" displayFolder="" measureGroup="Calculation" count="0"/>
    <cacheHierarchy uniqueName="[Measures].[Avg. Revenue per customer]" caption="Avg. Revenue per customer" measure="1" displayFolder="" measureGroup="mtn_customer_churn" count="0"/>
    <cacheHierarchy uniqueName="[Measures].[Avg. revenue per product]" caption="Avg. revenue per product" measure="1" displayFolder="" measureGroup="Calculation" count="0"/>
    <cacheHierarchy uniqueName="[Measures].[__XL_Count mtn_customer_churn]" caption="__XL_Count mtn_customer_churn" measure="1" displayFolder="" measureGroup="mtn_customer_churn" count="0" hidden="1"/>
    <cacheHierarchy uniqueName="[Measures].[__XL_Count Age-Group]" caption="__XL_Count Age-Group" measure="1" displayFolder="" measureGroup="Age-Group" count="0" hidden="1"/>
    <cacheHierarchy uniqueName="[Measures].[__XL_Count order date]" caption="__XL_Count order date" measure="1" displayFolder="" measureGroup="order date" count="0" hidden="1"/>
    <cacheHierarchy uniqueName="[Measures].[__XL_Count Calculation]" caption="__XL_Count Calculation" measure="1" displayFolder="" measureGroup="Calculation" count="0" hidden="1"/>
    <cacheHierarchy uniqueName="[Measures].[__No measures defined]" caption="__No measures defined" measure="1" displayFolder="" count="0" hidden="1"/>
    <cacheHierarchy uniqueName="[Measures].[Sum of Data Usage]" caption="Sum of Data Usage" measure="1" displayFolder="" measureGroup="mtn_customer_churn" count="0" hidden="1">
      <extLst>
        <ext xmlns:x15="http://schemas.microsoft.com/office/spreadsheetml/2010/11/main" uri="{B97F6D7D-B522-45F9-BDA1-12C45D357490}">
          <x15:cacheHierarchy aggregatedColumn="16"/>
        </ext>
      </extLst>
    </cacheHierarchy>
    <cacheHierarchy uniqueName="[Measures].[Sum of Quantity Sold]" caption="Sum of Quantity Sold" measure="1" displayFolder="" measureGroup="mtn_customer_churn" count="0" hidden="1">
      <extLst>
        <ext xmlns:x15="http://schemas.microsoft.com/office/spreadsheetml/2010/11/main" uri="{B97F6D7D-B522-45F9-BDA1-12C45D357490}">
          <x15:cacheHierarchy aggregatedColumn="14"/>
        </ext>
      </extLst>
    </cacheHierarchy>
    <cacheHierarchy uniqueName="[Measures].[Count of Customer Churn Status]" caption="Count of Customer Churn Status" measure="1" displayFolder="" measureGroup="mtn_customer_churn" count="0" hidden="1">
      <extLst>
        <ext xmlns:x15="http://schemas.microsoft.com/office/spreadsheetml/2010/11/main" uri="{B97F6D7D-B522-45F9-BDA1-12C45D357490}">
          <x15:cacheHierarchy aggregatedColumn="17"/>
        </ext>
      </extLst>
    </cacheHierarchy>
    <cacheHierarchy uniqueName="[Measures].[Sum of Days of the weeks]" caption="Sum of Days of the weeks" measure="1" displayFolder="" measureGroup="order date" count="0" hidden="1">
      <extLst>
        <ext xmlns:x15="http://schemas.microsoft.com/office/spreadsheetml/2010/11/main" uri="{B97F6D7D-B522-45F9-BDA1-12C45D357490}">
          <x15:cacheHierarchy aggregatedColumn="24"/>
        </ext>
      </extLst>
    </cacheHierarchy>
  </cacheHierarchies>
  <kpis count="0"/>
  <dimensions count="5">
    <dimension name="Age-Group" uniqueName="[Age-Group]" caption="Age-Group"/>
    <dimension name="Calculation" uniqueName="[Calculation]" caption="Calculation"/>
    <dimension measure="1" name="Measures" uniqueName="[Measures]" caption="Measures"/>
    <dimension name="mtn_customer_churn" uniqueName="[mtn_customer_churn]" caption="mtn_customer_churn"/>
    <dimension name="order date" uniqueName="[order date]" caption="order date"/>
  </dimensions>
  <measureGroups count="4">
    <measureGroup name="Age-Group" caption="Age-Group"/>
    <measureGroup name="Calculation" caption="Calculation"/>
    <measureGroup name="mtn_customer_churn" caption="mtn_customer_churn"/>
    <measureGroup name="order date" caption="order dat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mah" refreshedDate="46057.838585185185" backgroundQuery="1" createdVersion="8" refreshedVersion="8" minRefreshableVersion="3" recordCount="0" supportSubquery="1" supportAdvancedDrill="1" xr:uid="{23D0FDF9-322E-4BAB-9C6A-60463DB9EA7A}">
  <cacheSource type="external" connectionId="5"/>
  <cacheFields count="4">
    <cacheField name="[mtn_customer_churn].[Product_Name].[Product_Name]" caption="Product_Name" numFmtId="0" hierarchy="7" level="1">
      <sharedItems count="4">
        <s v="4G Router"/>
        <s v="5G Broadband Router"/>
        <s v="Broadband MiFi"/>
        <s v="Mobile SIM Card"/>
      </sharedItems>
    </cacheField>
    <cacheField name="[Measures].[Total Revenew]" caption="Total Revenew" numFmtId="0" hierarchy="30" level="32767"/>
    <cacheField name="[mtn_customer_churn].[Subscription Plan].[Subscription Plan]" caption="Subscription Plan" numFmtId="0" hierarchy="12" level="1">
      <sharedItems count="10">
        <s v="1.5TB Yearly Broadband Plan"/>
        <s v="120GB Monthly Broadband Plan"/>
        <s v="150GB FUP Monthly Unlimited"/>
        <s v="165GB Monthly Plan"/>
        <s v="200GB Monthly Broadband Plan"/>
        <s v="300GB FUP Monthly Unlimited"/>
        <s v="30GB Monthly Broadband Plan"/>
        <s v="450GB 3-Month Broadband Plan"/>
        <s v="60GB Monthly Broadband Plan"/>
        <s v="65GB Monthly Plan"/>
      </sharedItems>
    </cacheField>
    <cacheField name="[order date].[Months].[Months]" caption="Months" numFmtId="0" hierarchy="21" level="1">
      <sharedItems containsSemiMixedTypes="0" containsNonDate="0" containsString="0"/>
    </cacheField>
  </cacheFields>
  <cacheHierarchies count="50">
    <cacheHierarchy uniqueName="[Age-Group].[Age_Group]" caption="Age_Group" attribute="1" defaultMemberUniqueName="[Age-Group].[Age_Group].[All]" allUniqueName="[Age-Group].[Age_Group].[All]" dimensionUniqueName="[Age-Group]" displayFolder="" count="0" memberValueDatatype="130" unbalanced="0"/>
    <cacheHierarchy uniqueName="[Age-Group].[Age_num]" caption="Age_num" attribute="1" defaultMemberUniqueName="[Age-Group].[Age_num].[All]" allUniqueName="[Age-Group].[Age_num].[All]" dimensionUniqueName="[Age-Group]" displayFolder="" count="0" memberValueDatatype="130" unbalanced="0"/>
    <cacheHierarchy uniqueName="[Calculation].[Column1]" caption="Column1" attribute="1" defaultMemberUniqueName="[Calculation].[Column1].[All]" allUniqueName="[Calculation].[Column1].[All]" dimensionUniqueName="[Calculation]" displayFolder="" count="0" memberValueDatatype="130" unbalanced="0"/>
    <cacheHierarchy uniqueName="[mtn_customer_churn].[Customer ID]" caption="Customer ID" attribute="1" defaultMemberUniqueName="[mtn_customer_churn].[Customer ID].[All]" allUniqueName="[mtn_customer_churn].[Customer ID].[All]" dimensionUniqueName="[mtn_customer_churn]" displayFolder="" count="0" memberValueDatatype="130" unbalanced="0"/>
    <cacheHierarchy uniqueName="[mtn_customer_churn].[Full Name]" caption="Full Name" attribute="1" defaultMemberUniqueName="[mtn_customer_churn].[Full Name].[All]" allUniqueName="[mtn_customer_churn].[Full Name].[All]" dimensionUniqueName="[mtn_customer_churn]" displayFolder="" count="0" memberValueDatatype="130" unbalanced="0"/>
    <cacheHierarchy uniqueName="[mtn_customer_churn].[Age]" caption="Age" attribute="1" defaultMemberUniqueName="[mtn_customer_churn].[Age].[All]" allUniqueName="[mtn_customer_churn].[Age].[All]" dimensionUniqueName="[mtn_customer_churn]" displayFolder="" count="0" memberValueDatatype="20" unbalanced="0"/>
    <cacheHierarchy uniqueName="[mtn_customer_churn].[State]" caption="State" attribute="1" defaultMemberUniqueName="[mtn_customer_churn].[State].[All]" allUniqueName="[mtn_customer_churn].[State].[All]" dimensionUniqueName="[mtn_customer_churn]" displayFolder="" count="0" memberValueDatatype="130" unbalanced="0"/>
    <cacheHierarchy uniqueName="[mtn_customer_churn].[Product_Name]" caption="Product_Name" attribute="1" defaultMemberUniqueName="[mtn_customer_churn].[Product_Name].[All]" allUniqueName="[mtn_customer_churn].[Product_Name].[All]" dimensionUniqueName="[mtn_customer_churn]" displayFolder="" count="2" memberValueDatatype="130" unbalanced="0">
      <fieldsUsage count="2">
        <fieldUsage x="-1"/>
        <fieldUsage x="0"/>
      </fieldsUsage>
    </cacheHierarchy>
    <cacheHierarchy uniqueName="[mtn_customer_churn].[Gender]" caption="Gender" attribute="1" defaultMemberUniqueName="[mtn_customer_churn].[Gender].[All]" allUniqueName="[mtn_customer_churn].[Gender].[All]" dimensionUniqueName="[mtn_customer_churn]" displayFolder="" count="0" memberValueDatatype="130" unbalanced="0"/>
    <cacheHierarchy uniqueName="[mtn_customer_churn].[Satisfaction Rate]" caption="Satisfaction Rate" attribute="1" defaultMemberUniqueName="[mtn_customer_churn].[Satisfaction Rate].[All]" allUniqueName="[mtn_customer_churn].[Satisfaction Rate].[All]" dimensionUniqueName="[mtn_customer_churn]" displayFolder="" count="0" memberValueDatatype="20" unbalanced="0"/>
    <cacheHierarchy uniqueName="[mtn_customer_churn].[Customer Review]" caption="Customer Review" attribute="1" defaultMemberUniqueName="[mtn_customer_churn].[Customer Review].[All]" allUniqueName="[mtn_customer_churn].[Customer Review].[All]" dimensionUniqueName="[mtn_customer_churn]" displayFolder="" count="0" memberValueDatatype="130" unbalanced="0"/>
    <cacheHierarchy uniqueName="[mtn_customer_churn].[Customer Tenure in months]" caption="Customer Tenure in months" attribute="1" defaultMemberUniqueName="[mtn_customer_churn].[Customer Tenure in months].[All]" allUniqueName="[mtn_customer_churn].[Customer Tenure in months].[All]" dimensionUniqueName="[mtn_customer_churn]" displayFolder="" count="0" memberValueDatatype="20" unbalanced="0"/>
    <cacheHierarchy uniqueName="[mtn_customer_churn].[Subscription Plan]" caption="Subscription Plan" attribute="1" defaultMemberUniqueName="[mtn_customer_churn].[Subscription Plan].[All]" allUniqueName="[mtn_customer_churn].[Subscription Plan].[All]" dimensionUniqueName="[mtn_customer_churn]" displayFolder="" count="2" memberValueDatatype="130" unbalanced="0">
      <fieldsUsage count="2">
        <fieldUsage x="-1"/>
        <fieldUsage x="2"/>
      </fieldsUsage>
    </cacheHierarchy>
    <cacheHierarchy uniqueName="[mtn_customer_churn].[Unit Price]" caption="Unit Price" attribute="1" defaultMemberUniqueName="[mtn_customer_churn].[Unit Price].[All]" allUniqueName="[mtn_customer_churn].[Unit Price].[All]" dimensionUniqueName="[mtn_customer_churn]" displayFolder="" count="0" memberValueDatatype="5" unbalanced="0"/>
    <cacheHierarchy uniqueName="[mtn_customer_churn].[Quantity Sold]" caption="Quantity Sold" attribute="1" defaultMemberUniqueName="[mtn_customer_churn].[Quantity Sold].[All]" allUniqueName="[mtn_customer_churn].[Quantity Sold].[All]" dimensionUniqueName="[mtn_customer_churn]" displayFolder="" count="0" memberValueDatatype="20" unbalanced="0"/>
    <cacheHierarchy uniqueName="[mtn_customer_churn].[Total Revenue]" caption="Total Revenue" attribute="1" defaultMemberUniqueName="[mtn_customer_churn].[Total Revenue].[All]" allUniqueName="[mtn_customer_churn].[Total Revenue].[All]" dimensionUniqueName="[mtn_customer_churn]" displayFolder="" count="0" memberValueDatatype="5" unbalanced="0"/>
    <cacheHierarchy uniqueName="[mtn_customer_churn].[Data Usage]" caption="Data Usage" attribute="1" defaultMemberUniqueName="[mtn_customer_churn].[Data Usage].[All]" allUniqueName="[mtn_customer_churn].[Data Usage].[All]" dimensionUniqueName="[mtn_customer_churn]" displayFolder="" count="2" memberValueDatatype="5" unbalanced="0"/>
    <cacheHierarchy uniqueName="[mtn_customer_churn].[Customer Churn Status]" caption="Customer Churn Status" attribute="1" defaultMemberUniqueName="[mtn_customer_churn].[Customer Churn Status].[All]" allUniqueName="[mtn_customer_churn].[Customer Churn Status].[All]" dimensionUniqueName="[mtn_customer_churn]" displayFolder="" count="0" memberValueDatatype="130" unbalanced="0"/>
    <cacheHierarchy uniqueName="[mtn_customer_churn].[Reasons for Churn]" caption="Reasons for Churn" attribute="1" defaultMemberUniqueName="[mtn_customer_churn].[Reasons for Churn].[All]" allUniqueName="[mtn_customer_churn].[Reasons for Churn].[All]" dimensionUniqueName="[mtn_customer_churn]" displayFolder="" count="0" memberValueDatatype="130" unbalanced="0"/>
    <cacheHierarchy uniqueName="[order date].[Order_date]" caption="Order_date" attribute="1" time="1" defaultMemberUniqueName="[order date].[Order_date].[All]" allUniqueName="[order date].[Order_date].[All]" dimensionUniqueName="[order date]" displayFolder="" count="0" memberValueDatatype="7" unbalanced="0"/>
    <cacheHierarchy uniqueName="[order date].[years]" caption="years" attribute="1" defaultMemberUniqueName="[order date].[years].[All]" allUniqueName="[order date].[years].[All]" dimensionUniqueName="[order date]" displayFolder="" count="2" memberValueDatatype="20" unbalanced="0"/>
    <cacheHierarchy uniqueName="[order date].[Months]" caption="Months" attribute="1" defaultMemberUniqueName="[order date].[Months].[All]" allUniqueName="[order date].[Months].[All]" dimensionUniqueName="[order date]" displayFolder="" count="2" memberValueDatatype="130" unbalanced="0">
      <fieldsUsage count="2">
        <fieldUsage x="-1"/>
        <fieldUsage x="3"/>
      </fieldsUsage>
    </cacheHierarchy>
    <cacheHierarchy uniqueName="[order date].[Months Num]" caption="Months Num" attribute="1" defaultMemberUniqueName="[order date].[Months Num].[All]" allUniqueName="[order date].[Months Num].[All]" dimensionUniqueName="[order date]" displayFolder="" count="0" memberValueDatatype="20" unbalanced="0"/>
    <cacheHierarchy uniqueName="[order date].[Weekdays]" caption="Weekdays" attribute="1" defaultMemberUniqueName="[order date].[Weekdays].[All]" allUniqueName="[order date].[Weekdays].[All]" dimensionUniqueName="[order date]" displayFolder="" count="0" memberValueDatatype="130" unbalanced="0"/>
    <cacheHierarchy uniqueName="[order date].[Days of the weeks]" caption="Days of the weeks" attribute="1" defaultMemberUniqueName="[order date].[Days of the weeks].[All]" allUniqueName="[order date].[Days of the weeks].[All]" dimensionUniqueName="[order date]" displayFolder="" count="0" memberValueDatatype="20" unbalanced="0"/>
    <cacheHierarchy uniqueName="[order date].[Weektype]" caption="Weektype" attribute="1" defaultMemberUniqueName="[order date].[Weektype].[All]" allUniqueName="[order date].[Weektype].[All]" dimensionUniqueName="[order date]" displayFolder="" count="0" memberValueDatatype="130" unbalanced="0"/>
    <cacheHierarchy uniqueName="[order date].[Quarter]" caption="Quarter" attribute="1" defaultMemberUniqueName="[order date].[Quarter].[All]" allUniqueName="[order date].[Quarter].[All]" dimensionUniqueName="[order date]" displayFolder="" count="0" memberValueDatatype="130" unbalanced="0"/>
    <cacheHierarchy uniqueName="[order date].[Week_Type]" caption="Week_Type" attribute="1" defaultMemberUniqueName="[order date].[Week_Type].[All]" allUniqueName="[order date].[Week_Type].[All]" dimensionUniqueName="[order date]" displayFolder="" count="0" memberValueDatatype="130" unbalanced="0"/>
    <cacheHierarchy uniqueName="[mtn_customer_churn].[Age_Group]" caption="Age_Group" attribute="1" defaultMemberUniqueName="[mtn_customer_churn].[Age_Group].[All]" allUniqueName="[mtn_customer_churn].[Age_Group].[All]" dimensionUniqueName="[mtn_customer_churn]" displayFolder="" count="0" memberValueDatatype="130" unbalanced="0" hidden="1"/>
    <cacheHierarchy uniqueName="[mtn_customer_churn].[Order_Date]" caption="Order_Date" attribute="1" time="1" defaultMemberUniqueName="[mtn_customer_churn].[Order_Date].[All]" allUniqueName="[mtn_customer_churn].[Order_Date].[All]" dimensionUniqueName="[mtn_customer_churn]" displayFolder="" count="0" memberValueDatatype="7" unbalanced="0" hidden="1"/>
    <cacheHierarchy uniqueName="[Measures].[Total Revenew]" caption="Total Revenew" measure="1" displayFolder="" measureGroup="Calculation" count="0" oneField="1">
      <fieldsUsage count="1">
        <fieldUsage x="1"/>
      </fieldsUsage>
    </cacheHierarchy>
    <cacheHierarchy uniqueName="[Measures].[Total Customers]" caption="Total Customers" measure="1" displayFolder="" measureGroup="Calculation" count="0"/>
    <cacheHierarchy uniqueName="[Measures].[Churned customer]" caption="Churned customer" measure="1" displayFolder="" measureGroup="Calculation" count="0"/>
    <cacheHierarchy uniqueName="[Measures].[Churn Rate]" caption="Churn Rate" measure="1" displayFolder="" measureGroup="Calculation" count="0"/>
    <cacheHierarchy uniqueName="[Measures].[Avg. Tenure (month)]" caption="Avg. Tenure (month)" measure="1" displayFolder="" measureGroup="Calculation" count="0"/>
    <cacheHierarchy uniqueName="[Measures].[Avg.Satisfaction Score]" caption="Avg.Satisfaction Score" measure="1" displayFolder="" measureGroup="Calculation" count="0"/>
    <cacheHierarchy uniqueName="[Measures].[product]" caption="product" measure="1" displayFolder="" measureGroup="Calculation" count="0"/>
    <cacheHierarchy uniqueName="[Measures].[Total Qty Sold]" caption="Total Qty Sold" measure="1" displayFolder="" measureGroup="Calculation" count="0"/>
    <cacheHierarchy uniqueName="[Measures].[Total Unit Sold]" caption="Total Unit Sold" measure="1" displayFolder="" measureGroup="Calculation" count="0"/>
    <cacheHierarchy uniqueName="[Measures].[Avg. Revenue per customer]" caption="Avg. Revenue per customer" measure="1" displayFolder="" measureGroup="mtn_customer_churn" count="0"/>
    <cacheHierarchy uniqueName="[Measures].[Avg. revenue per product]" caption="Avg. revenue per product" measure="1" displayFolder="" measureGroup="Calculation" count="0"/>
    <cacheHierarchy uniqueName="[Measures].[__XL_Count mtn_customer_churn]" caption="__XL_Count mtn_customer_churn" measure="1" displayFolder="" measureGroup="mtn_customer_churn" count="0" hidden="1"/>
    <cacheHierarchy uniqueName="[Measures].[__XL_Count Age-Group]" caption="__XL_Count Age-Group" measure="1" displayFolder="" measureGroup="Age-Group" count="0" hidden="1"/>
    <cacheHierarchy uniqueName="[Measures].[__XL_Count order date]" caption="__XL_Count order date" measure="1" displayFolder="" measureGroup="order date" count="0" hidden="1"/>
    <cacheHierarchy uniqueName="[Measures].[__XL_Count Calculation]" caption="__XL_Count Calculation" measure="1" displayFolder="" measureGroup="Calculation" count="0" hidden="1"/>
    <cacheHierarchy uniqueName="[Measures].[__No measures defined]" caption="__No measures defined" measure="1" displayFolder="" count="0" hidden="1"/>
    <cacheHierarchy uniqueName="[Measures].[Sum of Data Usage]" caption="Sum of Data Usage" measure="1" displayFolder="" measureGroup="mtn_customer_churn" count="0" hidden="1">
      <extLst>
        <ext xmlns:x15="http://schemas.microsoft.com/office/spreadsheetml/2010/11/main" uri="{B97F6D7D-B522-45F9-BDA1-12C45D357490}">
          <x15:cacheHierarchy aggregatedColumn="16"/>
        </ext>
      </extLst>
    </cacheHierarchy>
    <cacheHierarchy uniqueName="[Measures].[Sum of Quantity Sold]" caption="Sum of Quantity Sold" measure="1" displayFolder="" measureGroup="mtn_customer_churn" count="0" hidden="1">
      <extLst>
        <ext xmlns:x15="http://schemas.microsoft.com/office/spreadsheetml/2010/11/main" uri="{B97F6D7D-B522-45F9-BDA1-12C45D357490}">
          <x15:cacheHierarchy aggregatedColumn="14"/>
        </ext>
      </extLst>
    </cacheHierarchy>
    <cacheHierarchy uniqueName="[Measures].[Count of Customer Churn Status]" caption="Count of Customer Churn Status" measure="1" displayFolder="" measureGroup="mtn_customer_churn" count="0" hidden="1">
      <extLst>
        <ext xmlns:x15="http://schemas.microsoft.com/office/spreadsheetml/2010/11/main" uri="{B97F6D7D-B522-45F9-BDA1-12C45D357490}">
          <x15:cacheHierarchy aggregatedColumn="17"/>
        </ext>
      </extLst>
    </cacheHierarchy>
    <cacheHierarchy uniqueName="[Measures].[Sum of Days of the weeks]" caption="Sum of Days of the weeks" measure="1" displayFolder="" measureGroup="order date" count="0" hidden="1">
      <extLst>
        <ext xmlns:x15="http://schemas.microsoft.com/office/spreadsheetml/2010/11/main" uri="{B97F6D7D-B522-45F9-BDA1-12C45D357490}">
          <x15:cacheHierarchy aggregatedColumn="24"/>
        </ext>
      </extLst>
    </cacheHierarchy>
  </cacheHierarchies>
  <kpis count="0"/>
  <dimensions count="5">
    <dimension name="Age-Group" uniqueName="[Age-Group]" caption="Age-Group"/>
    <dimension name="Calculation" uniqueName="[Calculation]" caption="Calculation"/>
    <dimension measure="1" name="Measures" uniqueName="[Measures]" caption="Measures"/>
    <dimension name="mtn_customer_churn" uniqueName="[mtn_customer_churn]" caption="mtn_customer_churn"/>
    <dimension name="order date" uniqueName="[order date]" caption="order date"/>
  </dimensions>
  <measureGroups count="4">
    <measureGroup name="Age-Group" caption="Age-Group"/>
    <measureGroup name="Calculation" caption="Calculation"/>
    <measureGroup name="mtn_customer_churn" caption="mtn_customer_churn"/>
    <measureGroup name="order date" caption="order dat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mah" refreshedDate="46057.838585532409" backgroundQuery="1" createdVersion="8" refreshedVersion="8" minRefreshableVersion="3" recordCount="0" supportSubquery="1" supportAdvancedDrill="1" xr:uid="{291A390A-75CF-4D0C-8DB8-0572C005665F}">
  <cacheSource type="external" connectionId="5"/>
  <cacheFields count="2">
    <cacheField name="[Measures].[Total Revenew]" caption="Total Revenew" numFmtId="0" hierarchy="30" level="32767"/>
    <cacheField name="[order date].[Months].[Months]" caption="Months" numFmtId="0" hierarchy="21" level="1">
      <sharedItems containsSemiMixedTypes="0" containsNonDate="0" containsString="0"/>
    </cacheField>
  </cacheFields>
  <cacheHierarchies count="50">
    <cacheHierarchy uniqueName="[Age-Group].[Age_Group]" caption="Age_Group" attribute="1" defaultMemberUniqueName="[Age-Group].[Age_Group].[All]" allUniqueName="[Age-Group].[Age_Group].[All]" dimensionUniqueName="[Age-Group]" displayFolder="" count="0" memberValueDatatype="130" unbalanced="0"/>
    <cacheHierarchy uniqueName="[Age-Group].[Age_num]" caption="Age_num" attribute="1" defaultMemberUniqueName="[Age-Group].[Age_num].[All]" allUniqueName="[Age-Group].[Age_num].[All]" dimensionUniqueName="[Age-Group]" displayFolder="" count="0" memberValueDatatype="130" unbalanced="0"/>
    <cacheHierarchy uniqueName="[Calculation].[Column1]" caption="Column1" attribute="1" defaultMemberUniqueName="[Calculation].[Column1].[All]" allUniqueName="[Calculation].[Column1].[All]" dimensionUniqueName="[Calculation]" displayFolder="" count="0" memberValueDatatype="130" unbalanced="0"/>
    <cacheHierarchy uniqueName="[mtn_customer_churn].[Customer ID]" caption="Customer ID" attribute="1" defaultMemberUniqueName="[mtn_customer_churn].[Customer ID].[All]" allUniqueName="[mtn_customer_churn].[Customer ID].[All]" dimensionUniqueName="[mtn_customer_churn]" displayFolder="" count="0" memberValueDatatype="130" unbalanced="0"/>
    <cacheHierarchy uniqueName="[mtn_customer_churn].[Full Name]" caption="Full Name" attribute="1" defaultMemberUniqueName="[mtn_customer_churn].[Full Name].[All]" allUniqueName="[mtn_customer_churn].[Full Name].[All]" dimensionUniqueName="[mtn_customer_churn]" displayFolder="" count="0" memberValueDatatype="130" unbalanced="0"/>
    <cacheHierarchy uniqueName="[mtn_customer_churn].[Age]" caption="Age" attribute="1" defaultMemberUniqueName="[mtn_customer_churn].[Age].[All]" allUniqueName="[mtn_customer_churn].[Age].[All]" dimensionUniqueName="[mtn_customer_churn]" displayFolder="" count="0" memberValueDatatype="20" unbalanced="0"/>
    <cacheHierarchy uniqueName="[mtn_customer_churn].[State]" caption="State" attribute="1" defaultMemberUniqueName="[mtn_customer_churn].[State].[All]" allUniqueName="[mtn_customer_churn].[State].[All]" dimensionUniqueName="[mtn_customer_churn]" displayFolder="" count="0" memberValueDatatype="130" unbalanced="0"/>
    <cacheHierarchy uniqueName="[mtn_customer_churn].[Product_Name]" caption="Product_Name" attribute="1" defaultMemberUniqueName="[mtn_customer_churn].[Product_Name].[All]" allUniqueName="[mtn_customer_churn].[Product_Name].[All]" dimensionUniqueName="[mtn_customer_churn]" displayFolder="" count="2" memberValueDatatype="130" unbalanced="0"/>
    <cacheHierarchy uniqueName="[mtn_customer_churn].[Gender]" caption="Gender" attribute="1" defaultMemberUniqueName="[mtn_customer_churn].[Gender].[All]" allUniqueName="[mtn_customer_churn].[Gender].[All]" dimensionUniqueName="[mtn_customer_churn]" displayFolder="" count="0" memberValueDatatype="130" unbalanced="0"/>
    <cacheHierarchy uniqueName="[mtn_customer_churn].[Satisfaction Rate]" caption="Satisfaction Rate" attribute="1" defaultMemberUniqueName="[mtn_customer_churn].[Satisfaction Rate].[All]" allUniqueName="[mtn_customer_churn].[Satisfaction Rate].[All]" dimensionUniqueName="[mtn_customer_churn]" displayFolder="" count="0" memberValueDatatype="20" unbalanced="0"/>
    <cacheHierarchy uniqueName="[mtn_customer_churn].[Customer Review]" caption="Customer Review" attribute="1" defaultMemberUniqueName="[mtn_customer_churn].[Customer Review].[All]" allUniqueName="[mtn_customer_churn].[Customer Review].[All]" dimensionUniqueName="[mtn_customer_churn]" displayFolder="" count="0" memberValueDatatype="130" unbalanced="0"/>
    <cacheHierarchy uniqueName="[mtn_customer_churn].[Customer Tenure in months]" caption="Customer Tenure in months" attribute="1" defaultMemberUniqueName="[mtn_customer_churn].[Customer Tenure in months].[All]" allUniqueName="[mtn_customer_churn].[Customer Tenure in months].[All]" dimensionUniqueName="[mtn_customer_churn]" displayFolder="" count="0" memberValueDatatype="20" unbalanced="0"/>
    <cacheHierarchy uniqueName="[mtn_customer_churn].[Subscription Plan]" caption="Subscription Plan" attribute="1" defaultMemberUniqueName="[mtn_customer_churn].[Subscription Plan].[All]" allUniqueName="[mtn_customer_churn].[Subscription Plan].[All]" dimensionUniqueName="[mtn_customer_churn]" displayFolder="" count="0" memberValueDatatype="130" unbalanced="0"/>
    <cacheHierarchy uniqueName="[mtn_customer_churn].[Unit Price]" caption="Unit Price" attribute="1" defaultMemberUniqueName="[mtn_customer_churn].[Unit Price].[All]" allUniqueName="[mtn_customer_churn].[Unit Price].[All]" dimensionUniqueName="[mtn_customer_churn]" displayFolder="" count="0" memberValueDatatype="5" unbalanced="0"/>
    <cacheHierarchy uniqueName="[mtn_customer_churn].[Quantity Sold]" caption="Quantity Sold" attribute="1" defaultMemberUniqueName="[mtn_customer_churn].[Quantity Sold].[All]" allUniqueName="[mtn_customer_churn].[Quantity Sold].[All]" dimensionUniqueName="[mtn_customer_churn]" displayFolder="" count="0" memberValueDatatype="20" unbalanced="0"/>
    <cacheHierarchy uniqueName="[mtn_customer_churn].[Total Revenue]" caption="Total Revenue" attribute="1" defaultMemberUniqueName="[mtn_customer_churn].[Total Revenue].[All]" allUniqueName="[mtn_customer_churn].[Total Revenue].[All]" dimensionUniqueName="[mtn_customer_churn]" displayFolder="" count="0" memberValueDatatype="5" unbalanced="0"/>
    <cacheHierarchy uniqueName="[mtn_customer_churn].[Data Usage]" caption="Data Usage" attribute="1" defaultMemberUniqueName="[mtn_customer_churn].[Data Usage].[All]" allUniqueName="[mtn_customer_churn].[Data Usage].[All]" dimensionUniqueName="[mtn_customer_churn]" displayFolder="" count="0" memberValueDatatype="5" unbalanced="0"/>
    <cacheHierarchy uniqueName="[mtn_customer_churn].[Customer Churn Status]" caption="Customer Churn Status" attribute="1" defaultMemberUniqueName="[mtn_customer_churn].[Customer Churn Status].[All]" allUniqueName="[mtn_customer_churn].[Customer Churn Status].[All]" dimensionUniqueName="[mtn_customer_churn]" displayFolder="" count="0" memberValueDatatype="130" unbalanced="0"/>
    <cacheHierarchy uniqueName="[mtn_customer_churn].[Reasons for Churn]" caption="Reasons for Churn" attribute="1" defaultMemberUniqueName="[mtn_customer_churn].[Reasons for Churn].[All]" allUniqueName="[mtn_customer_churn].[Reasons for Churn].[All]" dimensionUniqueName="[mtn_customer_churn]" displayFolder="" count="0" memberValueDatatype="130" unbalanced="0"/>
    <cacheHierarchy uniqueName="[order date].[Order_date]" caption="Order_date" attribute="1" time="1" defaultMemberUniqueName="[order date].[Order_date].[All]" allUniqueName="[order date].[Order_date].[All]" dimensionUniqueName="[order date]" displayFolder="" count="0" memberValueDatatype="7" unbalanced="0"/>
    <cacheHierarchy uniqueName="[order date].[years]" caption="years" attribute="1" defaultMemberUniqueName="[order date].[years].[All]" allUniqueName="[order date].[years].[All]" dimensionUniqueName="[order date]" displayFolder="" count="0" memberValueDatatype="20" unbalanced="0"/>
    <cacheHierarchy uniqueName="[order date].[Months]" caption="Months" attribute="1" defaultMemberUniqueName="[order date].[Months].[All]" allUniqueName="[order date].[Months].[All]" dimensionUniqueName="[order date]" displayFolder="" count="2" memberValueDatatype="130" unbalanced="0">
      <fieldsUsage count="2">
        <fieldUsage x="-1"/>
        <fieldUsage x="1"/>
      </fieldsUsage>
    </cacheHierarchy>
    <cacheHierarchy uniqueName="[order date].[Months Num]" caption="Months Num" attribute="1" defaultMemberUniqueName="[order date].[Months Num].[All]" allUniqueName="[order date].[Months Num].[All]" dimensionUniqueName="[order date]" displayFolder="" count="0" memberValueDatatype="20" unbalanced="0"/>
    <cacheHierarchy uniqueName="[order date].[Weekdays]" caption="Weekdays" attribute="1" defaultMemberUniqueName="[order date].[Weekdays].[All]" allUniqueName="[order date].[Weekdays].[All]" dimensionUniqueName="[order date]" displayFolder="" count="0" memberValueDatatype="130" unbalanced="0"/>
    <cacheHierarchy uniqueName="[order date].[Days of the weeks]" caption="Days of the weeks" attribute="1" defaultMemberUniqueName="[order date].[Days of the weeks].[All]" allUniqueName="[order date].[Days of the weeks].[All]" dimensionUniqueName="[order date]" displayFolder="" count="0" memberValueDatatype="20" unbalanced="0"/>
    <cacheHierarchy uniqueName="[order date].[Weektype]" caption="Weektype" attribute="1" defaultMemberUniqueName="[order date].[Weektype].[All]" allUniqueName="[order date].[Weektype].[All]" dimensionUniqueName="[order date]" displayFolder="" count="0" memberValueDatatype="130" unbalanced="0"/>
    <cacheHierarchy uniqueName="[order date].[Quarter]" caption="Quarter" attribute="1" defaultMemberUniqueName="[order date].[Quarter].[All]" allUniqueName="[order date].[Quarter].[All]" dimensionUniqueName="[order date]" displayFolder="" count="0" memberValueDatatype="130" unbalanced="0"/>
    <cacheHierarchy uniqueName="[order date].[Week_Type]" caption="Week_Type" attribute="1" defaultMemberUniqueName="[order date].[Week_Type].[All]" allUniqueName="[order date].[Week_Type].[All]" dimensionUniqueName="[order date]" displayFolder="" count="0" memberValueDatatype="130" unbalanced="0"/>
    <cacheHierarchy uniqueName="[mtn_customer_churn].[Age_Group]" caption="Age_Group" attribute="1" defaultMemberUniqueName="[mtn_customer_churn].[Age_Group].[All]" allUniqueName="[mtn_customer_churn].[Age_Group].[All]" dimensionUniqueName="[mtn_customer_churn]" displayFolder="" count="0" memberValueDatatype="130" unbalanced="0" hidden="1"/>
    <cacheHierarchy uniqueName="[mtn_customer_churn].[Order_Date]" caption="Order_Date" attribute="1" time="1" defaultMemberUniqueName="[mtn_customer_churn].[Order_Date].[All]" allUniqueName="[mtn_customer_churn].[Order_Date].[All]" dimensionUniqueName="[mtn_customer_churn]" displayFolder="" count="0" memberValueDatatype="7" unbalanced="0" hidden="1"/>
    <cacheHierarchy uniqueName="[Measures].[Total Revenew]" caption="Total Revenew" measure="1" displayFolder="" measureGroup="Calculation" count="0" oneField="1">
      <fieldsUsage count="1">
        <fieldUsage x="0"/>
      </fieldsUsage>
    </cacheHierarchy>
    <cacheHierarchy uniqueName="[Measures].[Total Customers]" caption="Total Customers" measure="1" displayFolder="" measureGroup="Calculation" count="0"/>
    <cacheHierarchy uniqueName="[Measures].[Churned customer]" caption="Churned customer" measure="1" displayFolder="" measureGroup="Calculation" count="0"/>
    <cacheHierarchy uniqueName="[Measures].[Churn Rate]" caption="Churn Rate" measure="1" displayFolder="" measureGroup="Calculation" count="0"/>
    <cacheHierarchy uniqueName="[Measures].[Avg. Tenure (month)]" caption="Avg. Tenure (month)" measure="1" displayFolder="" measureGroup="Calculation" count="0"/>
    <cacheHierarchy uniqueName="[Measures].[Avg.Satisfaction Score]" caption="Avg.Satisfaction Score" measure="1" displayFolder="" measureGroup="Calculation" count="0"/>
    <cacheHierarchy uniqueName="[Measures].[product]" caption="product" measure="1" displayFolder="" measureGroup="Calculation" count="0"/>
    <cacheHierarchy uniqueName="[Measures].[Total Qty Sold]" caption="Total Qty Sold" measure="1" displayFolder="" measureGroup="Calculation" count="0"/>
    <cacheHierarchy uniqueName="[Measures].[Total Unit Sold]" caption="Total Unit Sold" measure="1" displayFolder="" measureGroup="Calculation" count="0"/>
    <cacheHierarchy uniqueName="[Measures].[Avg. Revenue per customer]" caption="Avg. Revenue per customer" measure="1" displayFolder="" measureGroup="mtn_customer_churn" count="0"/>
    <cacheHierarchy uniqueName="[Measures].[Avg. revenue per product]" caption="Avg. revenue per product" measure="1" displayFolder="" measureGroup="Calculation" count="0"/>
    <cacheHierarchy uniqueName="[Measures].[__XL_Count mtn_customer_churn]" caption="__XL_Count mtn_customer_churn" measure="1" displayFolder="" measureGroup="mtn_customer_churn" count="0" hidden="1"/>
    <cacheHierarchy uniqueName="[Measures].[__XL_Count Age-Group]" caption="__XL_Count Age-Group" measure="1" displayFolder="" measureGroup="Age-Group" count="0" hidden="1"/>
    <cacheHierarchy uniqueName="[Measures].[__XL_Count order date]" caption="__XL_Count order date" measure="1" displayFolder="" measureGroup="order date" count="0" hidden="1"/>
    <cacheHierarchy uniqueName="[Measures].[__XL_Count Calculation]" caption="__XL_Count Calculation" measure="1" displayFolder="" measureGroup="Calculation" count="0" hidden="1"/>
    <cacheHierarchy uniqueName="[Measures].[__No measures defined]" caption="__No measures defined" measure="1" displayFolder="" count="0" hidden="1"/>
    <cacheHierarchy uniqueName="[Measures].[Sum of Data Usage]" caption="Sum of Data Usage" measure="1" displayFolder="" measureGroup="mtn_customer_churn" count="0" hidden="1">
      <extLst>
        <ext xmlns:x15="http://schemas.microsoft.com/office/spreadsheetml/2010/11/main" uri="{B97F6D7D-B522-45F9-BDA1-12C45D357490}">
          <x15:cacheHierarchy aggregatedColumn="16"/>
        </ext>
      </extLst>
    </cacheHierarchy>
    <cacheHierarchy uniqueName="[Measures].[Sum of Quantity Sold]" caption="Sum of Quantity Sold" measure="1" displayFolder="" measureGroup="mtn_customer_churn" count="0" hidden="1">
      <extLst>
        <ext xmlns:x15="http://schemas.microsoft.com/office/spreadsheetml/2010/11/main" uri="{B97F6D7D-B522-45F9-BDA1-12C45D357490}">
          <x15:cacheHierarchy aggregatedColumn="14"/>
        </ext>
      </extLst>
    </cacheHierarchy>
    <cacheHierarchy uniqueName="[Measures].[Count of Customer Churn Status]" caption="Count of Customer Churn Status" measure="1" displayFolder="" measureGroup="mtn_customer_churn" count="0" hidden="1">
      <extLst>
        <ext xmlns:x15="http://schemas.microsoft.com/office/spreadsheetml/2010/11/main" uri="{B97F6D7D-B522-45F9-BDA1-12C45D357490}">
          <x15:cacheHierarchy aggregatedColumn="17"/>
        </ext>
      </extLst>
    </cacheHierarchy>
    <cacheHierarchy uniqueName="[Measures].[Sum of Days of the weeks]" caption="Sum of Days of the weeks" measure="1" displayFolder="" measureGroup="order date" count="0" hidden="1">
      <extLst>
        <ext xmlns:x15="http://schemas.microsoft.com/office/spreadsheetml/2010/11/main" uri="{B97F6D7D-B522-45F9-BDA1-12C45D357490}">
          <x15:cacheHierarchy aggregatedColumn="24"/>
        </ext>
      </extLst>
    </cacheHierarchy>
  </cacheHierarchies>
  <kpis count="0"/>
  <dimensions count="5">
    <dimension name="Age-Group" uniqueName="[Age-Group]" caption="Age-Group"/>
    <dimension name="Calculation" uniqueName="[Calculation]" caption="Calculation"/>
    <dimension measure="1" name="Measures" uniqueName="[Measures]" caption="Measures"/>
    <dimension name="mtn_customer_churn" uniqueName="[mtn_customer_churn]" caption="mtn_customer_churn"/>
    <dimension name="order date" uniqueName="[order date]" caption="order date"/>
  </dimensions>
  <measureGroups count="4">
    <measureGroup name="Age-Group" caption="Age-Group"/>
    <measureGroup name="Calculation" caption="Calculation"/>
    <measureGroup name="mtn_customer_churn" caption="mtn_customer_churn"/>
    <measureGroup name="order date" caption="order dat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mah" refreshedDate="46057.838585995371" backgroundQuery="1" createdVersion="8" refreshedVersion="8" minRefreshableVersion="3" recordCount="0" supportSubquery="1" supportAdvancedDrill="1" xr:uid="{98960BF0-A335-41B2-AF14-86A6F7B5CA58}">
  <cacheSource type="external" connectionId="5"/>
  <cacheFields count="3">
    <cacheField name="[order date].[Weektype].[Weektype]" caption="Weektype" numFmtId="0" hierarchy="25" level="1">
      <sharedItems count="2">
        <s v="Weekday"/>
        <s v="Weekend"/>
      </sharedItems>
    </cacheField>
    <cacheField name="[Measures].[Total Revenew]" caption="Total Revenew" numFmtId="0" hierarchy="30" level="32767"/>
    <cacheField name="[order date].[Months].[Months]" caption="Months" numFmtId="0" hierarchy="21" level="1">
      <sharedItems containsSemiMixedTypes="0" containsNonDate="0" containsString="0"/>
    </cacheField>
  </cacheFields>
  <cacheHierarchies count="50">
    <cacheHierarchy uniqueName="[Age-Group].[Age_Group]" caption="Age_Group" attribute="1" defaultMemberUniqueName="[Age-Group].[Age_Group].[All]" allUniqueName="[Age-Group].[Age_Group].[All]" dimensionUniqueName="[Age-Group]" displayFolder="" count="0" memberValueDatatype="130" unbalanced="0"/>
    <cacheHierarchy uniqueName="[Age-Group].[Age_num]" caption="Age_num" attribute="1" defaultMemberUniqueName="[Age-Group].[Age_num].[All]" allUniqueName="[Age-Group].[Age_num].[All]" dimensionUniqueName="[Age-Group]" displayFolder="" count="0" memberValueDatatype="130" unbalanced="0"/>
    <cacheHierarchy uniqueName="[Calculation].[Column1]" caption="Column1" attribute="1" defaultMemberUniqueName="[Calculation].[Column1].[All]" allUniqueName="[Calculation].[Column1].[All]" dimensionUniqueName="[Calculation]" displayFolder="" count="0" memberValueDatatype="130" unbalanced="0"/>
    <cacheHierarchy uniqueName="[mtn_customer_churn].[Customer ID]" caption="Customer ID" attribute="1" defaultMemberUniqueName="[mtn_customer_churn].[Customer ID].[All]" allUniqueName="[mtn_customer_churn].[Customer ID].[All]" dimensionUniqueName="[mtn_customer_churn]" displayFolder="" count="0" memberValueDatatype="130" unbalanced="0"/>
    <cacheHierarchy uniqueName="[mtn_customer_churn].[Full Name]" caption="Full Name" attribute="1" defaultMemberUniqueName="[mtn_customer_churn].[Full Name].[All]" allUniqueName="[mtn_customer_churn].[Full Name].[All]" dimensionUniqueName="[mtn_customer_churn]" displayFolder="" count="0" memberValueDatatype="130" unbalanced="0"/>
    <cacheHierarchy uniqueName="[mtn_customer_churn].[Age]" caption="Age" attribute="1" defaultMemberUniqueName="[mtn_customer_churn].[Age].[All]" allUniqueName="[mtn_customer_churn].[Age].[All]" dimensionUniqueName="[mtn_customer_churn]" displayFolder="" count="0" memberValueDatatype="20" unbalanced="0"/>
    <cacheHierarchy uniqueName="[mtn_customer_churn].[State]" caption="State" attribute="1" defaultMemberUniqueName="[mtn_customer_churn].[State].[All]" allUniqueName="[mtn_customer_churn].[State].[All]" dimensionUniqueName="[mtn_customer_churn]" displayFolder="" count="0" memberValueDatatype="130" unbalanced="0"/>
    <cacheHierarchy uniqueName="[mtn_customer_churn].[Product_Name]" caption="Product_Name" attribute="1" defaultMemberUniqueName="[mtn_customer_churn].[Product_Name].[All]" allUniqueName="[mtn_customer_churn].[Product_Name].[All]" dimensionUniqueName="[mtn_customer_churn]" displayFolder="" count="2" memberValueDatatype="130" unbalanced="0"/>
    <cacheHierarchy uniqueName="[mtn_customer_churn].[Gender]" caption="Gender" attribute="1" defaultMemberUniqueName="[mtn_customer_churn].[Gender].[All]" allUniqueName="[mtn_customer_churn].[Gender].[All]" dimensionUniqueName="[mtn_customer_churn]" displayFolder="" count="0" memberValueDatatype="130" unbalanced="0"/>
    <cacheHierarchy uniqueName="[mtn_customer_churn].[Satisfaction Rate]" caption="Satisfaction Rate" attribute="1" defaultMemberUniqueName="[mtn_customer_churn].[Satisfaction Rate].[All]" allUniqueName="[mtn_customer_churn].[Satisfaction Rate].[All]" dimensionUniqueName="[mtn_customer_churn]" displayFolder="" count="0" memberValueDatatype="20" unbalanced="0"/>
    <cacheHierarchy uniqueName="[mtn_customer_churn].[Customer Review]" caption="Customer Review" attribute="1" defaultMemberUniqueName="[mtn_customer_churn].[Customer Review].[All]" allUniqueName="[mtn_customer_churn].[Customer Review].[All]" dimensionUniqueName="[mtn_customer_churn]" displayFolder="" count="0" memberValueDatatype="130" unbalanced="0"/>
    <cacheHierarchy uniqueName="[mtn_customer_churn].[Customer Tenure in months]" caption="Customer Tenure in months" attribute="1" defaultMemberUniqueName="[mtn_customer_churn].[Customer Tenure in months].[All]" allUniqueName="[mtn_customer_churn].[Customer Tenure in months].[All]" dimensionUniqueName="[mtn_customer_churn]" displayFolder="" count="0" memberValueDatatype="20" unbalanced="0"/>
    <cacheHierarchy uniqueName="[mtn_customer_churn].[Subscription Plan]" caption="Subscription Plan" attribute="1" defaultMemberUniqueName="[mtn_customer_churn].[Subscription Plan].[All]" allUniqueName="[mtn_customer_churn].[Subscription Plan].[All]" dimensionUniqueName="[mtn_customer_churn]" displayFolder="" count="0" memberValueDatatype="130" unbalanced="0"/>
    <cacheHierarchy uniqueName="[mtn_customer_churn].[Unit Price]" caption="Unit Price" attribute="1" defaultMemberUniqueName="[mtn_customer_churn].[Unit Price].[All]" allUniqueName="[mtn_customer_churn].[Unit Price].[All]" dimensionUniqueName="[mtn_customer_churn]" displayFolder="" count="0" memberValueDatatype="5" unbalanced="0"/>
    <cacheHierarchy uniqueName="[mtn_customer_churn].[Quantity Sold]" caption="Quantity Sold" attribute="1" defaultMemberUniqueName="[mtn_customer_churn].[Quantity Sold].[All]" allUniqueName="[mtn_customer_churn].[Quantity Sold].[All]" dimensionUniqueName="[mtn_customer_churn]" displayFolder="" count="0" memberValueDatatype="20" unbalanced="0"/>
    <cacheHierarchy uniqueName="[mtn_customer_churn].[Total Revenue]" caption="Total Revenue" attribute="1" defaultMemberUniqueName="[mtn_customer_churn].[Total Revenue].[All]" allUniqueName="[mtn_customer_churn].[Total Revenue].[All]" dimensionUniqueName="[mtn_customer_churn]" displayFolder="" count="0" memberValueDatatype="5" unbalanced="0"/>
    <cacheHierarchy uniqueName="[mtn_customer_churn].[Data Usage]" caption="Data Usage" attribute="1" defaultMemberUniqueName="[mtn_customer_churn].[Data Usage].[All]" allUniqueName="[mtn_customer_churn].[Data Usage].[All]" dimensionUniqueName="[mtn_customer_churn]" displayFolder="" count="0" memberValueDatatype="5" unbalanced="0"/>
    <cacheHierarchy uniqueName="[mtn_customer_churn].[Customer Churn Status]" caption="Customer Churn Status" attribute="1" defaultMemberUniqueName="[mtn_customer_churn].[Customer Churn Status].[All]" allUniqueName="[mtn_customer_churn].[Customer Churn Status].[All]" dimensionUniqueName="[mtn_customer_churn]" displayFolder="" count="0" memberValueDatatype="130" unbalanced="0"/>
    <cacheHierarchy uniqueName="[mtn_customer_churn].[Reasons for Churn]" caption="Reasons for Churn" attribute="1" defaultMemberUniqueName="[mtn_customer_churn].[Reasons for Churn].[All]" allUniqueName="[mtn_customer_churn].[Reasons for Churn].[All]" dimensionUniqueName="[mtn_customer_churn]" displayFolder="" count="0" memberValueDatatype="130" unbalanced="0"/>
    <cacheHierarchy uniqueName="[order date].[Order_date]" caption="Order_date" attribute="1" time="1" defaultMemberUniqueName="[order date].[Order_date].[All]" allUniqueName="[order date].[Order_date].[All]" dimensionUniqueName="[order date]" displayFolder="" count="0" memberValueDatatype="7" unbalanced="0"/>
    <cacheHierarchy uniqueName="[order date].[years]" caption="years" attribute="1" defaultMemberUniqueName="[order date].[years].[All]" allUniqueName="[order date].[years].[All]" dimensionUniqueName="[order date]" displayFolder="" count="2" memberValueDatatype="20" unbalanced="0"/>
    <cacheHierarchy uniqueName="[order date].[Months]" caption="Months" attribute="1" defaultMemberUniqueName="[order date].[Months].[All]" allUniqueName="[order date].[Months].[All]" dimensionUniqueName="[order date]" displayFolder="" count="2" memberValueDatatype="130" unbalanced="0">
      <fieldsUsage count="2">
        <fieldUsage x="-1"/>
        <fieldUsage x="2"/>
      </fieldsUsage>
    </cacheHierarchy>
    <cacheHierarchy uniqueName="[order date].[Months Num]" caption="Months Num" attribute="1" defaultMemberUniqueName="[order date].[Months Num].[All]" allUniqueName="[order date].[Months Num].[All]" dimensionUniqueName="[order date]" displayFolder="" count="0" memberValueDatatype="20" unbalanced="0"/>
    <cacheHierarchy uniqueName="[order date].[Weekdays]" caption="Weekdays" attribute="1" defaultMemberUniqueName="[order date].[Weekdays].[All]" allUniqueName="[order date].[Weekdays].[All]" dimensionUniqueName="[order date]" displayFolder="" count="0" memberValueDatatype="130" unbalanced="0"/>
    <cacheHierarchy uniqueName="[order date].[Days of the weeks]" caption="Days of the weeks" attribute="1" defaultMemberUniqueName="[order date].[Days of the weeks].[All]" allUniqueName="[order date].[Days of the weeks].[All]" dimensionUniqueName="[order date]" displayFolder="" count="0" memberValueDatatype="20" unbalanced="0"/>
    <cacheHierarchy uniqueName="[order date].[Weektype]" caption="Weektype" attribute="1" defaultMemberUniqueName="[order date].[Weektype].[All]" allUniqueName="[order date].[Weektype].[All]" dimensionUniqueName="[order date]" displayFolder="" count="2" memberValueDatatype="130" unbalanced="0">
      <fieldsUsage count="2">
        <fieldUsage x="-1"/>
        <fieldUsage x="0"/>
      </fieldsUsage>
    </cacheHierarchy>
    <cacheHierarchy uniqueName="[order date].[Quarter]" caption="Quarter" attribute="1" defaultMemberUniqueName="[order date].[Quarter].[All]" allUniqueName="[order date].[Quarter].[All]" dimensionUniqueName="[order date]" displayFolder="" count="0" memberValueDatatype="130" unbalanced="0"/>
    <cacheHierarchy uniqueName="[order date].[Week_Type]" caption="Week_Type" attribute="1" defaultMemberUniqueName="[order date].[Week_Type].[All]" allUniqueName="[order date].[Week_Type].[All]" dimensionUniqueName="[order date]" displayFolder="" count="0" memberValueDatatype="130" unbalanced="0"/>
    <cacheHierarchy uniqueName="[mtn_customer_churn].[Age_Group]" caption="Age_Group" attribute="1" defaultMemberUniqueName="[mtn_customer_churn].[Age_Group].[All]" allUniqueName="[mtn_customer_churn].[Age_Group].[All]" dimensionUniqueName="[mtn_customer_churn]" displayFolder="" count="0" memberValueDatatype="130" unbalanced="0" hidden="1"/>
    <cacheHierarchy uniqueName="[mtn_customer_churn].[Order_Date]" caption="Order_Date" attribute="1" time="1" defaultMemberUniqueName="[mtn_customer_churn].[Order_Date].[All]" allUniqueName="[mtn_customer_churn].[Order_Date].[All]" dimensionUniqueName="[mtn_customer_churn]" displayFolder="" count="0" memberValueDatatype="7" unbalanced="0" hidden="1"/>
    <cacheHierarchy uniqueName="[Measures].[Total Revenew]" caption="Total Revenew" measure="1" displayFolder="" measureGroup="Calculation" count="0" oneField="1">
      <fieldsUsage count="1">
        <fieldUsage x="1"/>
      </fieldsUsage>
    </cacheHierarchy>
    <cacheHierarchy uniqueName="[Measures].[Total Customers]" caption="Total Customers" measure="1" displayFolder="" measureGroup="Calculation" count="0"/>
    <cacheHierarchy uniqueName="[Measures].[Churned customer]" caption="Churned customer" measure="1" displayFolder="" measureGroup="Calculation" count="0"/>
    <cacheHierarchy uniqueName="[Measures].[Churn Rate]" caption="Churn Rate" measure="1" displayFolder="" measureGroup="Calculation" count="0"/>
    <cacheHierarchy uniqueName="[Measures].[Avg. Tenure (month)]" caption="Avg. Tenure (month)" measure="1" displayFolder="" measureGroup="Calculation" count="0"/>
    <cacheHierarchy uniqueName="[Measures].[Avg.Satisfaction Score]" caption="Avg.Satisfaction Score" measure="1" displayFolder="" measureGroup="Calculation" count="0"/>
    <cacheHierarchy uniqueName="[Measures].[product]" caption="product" measure="1" displayFolder="" measureGroup="Calculation" count="0"/>
    <cacheHierarchy uniqueName="[Measures].[Total Qty Sold]" caption="Total Qty Sold" measure="1" displayFolder="" measureGroup="Calculation" count="0"/>
    <cacheHierarchy uniqueName="[Measures].[Total Unit Sold]" caption="Total Unit Sold" measure="1" displayFolder="" measureGroup="Calculation" count="0"/>
    <cacheHierarchy uniqueName="[Measures].[Avg. Revenue per customer]" caption="Avg. Revenue per customer" measure="1" displayFolder="" measureGroup="mtn_customer_churn" count="0"/>
    <cacheHierarchy uniqueName="[Measures].[Avg. revenue per product]" caption="Avg. revenue per product" measure="1" displayFolder="" measureGroup="Calculation" count="0"/>
    <cacheHierarchy uniqueName="[Measures].[__XL_Count mtn_customer_churn]" caption="__XL_Count mtn_customer_churn" measure="1" displayFolder="" measureGroup="mtn_customer_churn" count="0" hidden="1"/>
    <cacheHierarchy uniqueName="[Measures].[__XL_Count Age-Group]" caption="__XL_Count Age-Group" measure="1" displayFolder="" measureGroup="Age-Group" count="0" hidden="1"/>
    <cacheHierarchy uniqueName="[Measures].[__XL_Count order date]" caption="__XL_Count order date" measure="1" displayFolder="" measureGroup="order date" count="0" hidden="1"/>
    <cacheHierarchy uniqueName="[Measures].[__XL_Count Calculation]" caption="__XL_Count Calculation" measure="1" displayFolder="" measureGroup="Calculation" count="0" hidden="1"/>
    <cacheHierarchy uniqueName="[Measures].[__No measures defined]" caption="__No measures defined" measure="1" displayFolder="" count="0" hidden="1"/>
    <cacheHierarchy uniqueName="[Measures].[Sum of Data Usage]" caption="Sum of Data Usage" measure="1" displayFolder="" measureGroup="mtn_customer_churn" count="0" hidden="1">
      <extLst>
        <ext xmlns:x15="http://schemas.microsoft.com/office/spreadsheetml/2010/11/main" uri="{B97F6D7D-B522-45F9-BDA1-12C45D357490}">
          <x15:cacheHierarchy aggregatedColumn="16"/>
        </ext>
      </extLst>
    </cacheHierarchy>
    <cacheHierarchy uniqueName="[Measures].[Sum of Quantity Sold]" caption="Sum of Quantity Sold" measure="1" displayFolder="" measureGroup="mtn_customer_churn" count="0" hidden="1">
      <extLst>
        <ext xmlns:x15="http://schemas.microsoft.com/office/spreadsheetml/2010/11/main" uri="{B97F6D7D-B522-45F9-BDA1-12C45D357490}">
          <x15:cacheHierarchy aggregatedColumn="14"/>
        </ext>
      </extLst>
    </cacheHierarchy>
    <cacheHierarchy uniqueName="[Measures].[Count of Customer Churn Status]" caption="Count of Customer Churn Status" measure="1" displayFolder="" measureGroup="mtn_customer_churn" count="0" hidden="1">
      <extLst>
        <ext xmlns:x15="http://schemas.microsoft.com/office/spreadsheetml/2010/11/main" uri="{B97F6D7D-B522-45F9-BDA1-12C45D357490}">
          <x15:cacheHierarchy aggregatedColumn="17"/>
        </ext>
      </extLst>
    </cacheHierarchy>
    <cacheHierarchy uniqueName="[Measures].[Sum of Days of the weeks]" caption="Sum of Days of the weeks" measure="1" displayFolder="" measureGroup="order date" count="0" hidden="1">
      <extLst>
        <ext xmlns:x15="http://schemas.microsoft.com/office/spreadsheetml/2010/11/main" uri="{B97F6D7D-B522-45F9-BDA1-12C45D357490}">
          <x15:cacheHierarchy aggregatedColumn="24"/>
        </ext>
      </extLst>
    </cacheHierarchy>
  </cacheHierarchies>
  <kpis count="0"/>
  <dimensions count="5">
    <dimension name="Age-Group" uniqueName="[Age-Group]" caption="Age-Group"/>
    <dimension name="Calculation" uniqueName="[Calculation]" caption="Calculation"/>
    <dimension measure="1" name="Measures" uniqueName="[Measures]" caption="Measures"/>
    <dimension name="mtn_customer_churn" uniqueName="[mtn_customer_churn]" caption="mtn_customer_churn"/>
    <dimension name="order date" uniqueName="[order date]" caption="order date"/>
  </dimensions>
  <measureGroups count="4">
    <measureGroup name="Age-Group" caption="Age-Group"/>
    <measureGroup name="Calculation" caption="Calculation"/>
    <measureGroup name="mtn_customer_churn" caption="mtn_customer_churn"/>
    <measureGroup name="order date" caption="order dat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mah" refreshedDate="46057.838586574071" backgroundQuery="1" createdVersion="8" refreshedVersion="8" minRefreshableVersion="3" recordCount="0" supportSubquery="1" supportAdvancedDrill="1" xr:uid="{0CA8F3BB-DDF3-40B2-AD99-464CC741B9D0}">
  <cacheSource type="external" connectionId="5"/>
  <cacheFields count="2">
    <cacheField name="[Measures].[Churned customer]" caption="Churned customer" numFmtId="0" hierarchy="32" level="32767"/>
    <cacheField name="[order date].[Months].[Months]" caption="Months" numFmtId="0" hierarchy="21" level="1">
      <sharedItems containsSemiMixedTypes="0" containsNonDate="0" containsString="0"/>
    </cacheField>
  </cacheFields>
  <cacheHierarchies count="50">
    <cacheHierarchy uniqueName="[Age-Group].[Age_Group]" caption="Age_Group" attribute="1" defaultMemberUniqueName="[Age-Group].[Age_Group].[All]" allUniqueName="[Age-Group].[Age_Group].[All]" dimensionUniqueName="[Age-Group]" displayFolder="" count="0" memberValueDatatype="130" unbalanced="0"/>
    <cacheHierarchy uniqueName="[Age-Group].[Age_num]" caption="Age_num" attribute="1" defaultMemberUniqueName="[Age-Group].[Age_num].[All]" allUniqueName="[Age-Group].[Age_num].[All]" dimensionUniqueName="[Age-Group]" displayFolder="" count="0" memberValueDatatype="130" unbalanced="0"/>
    <cacheHierarchy uniqueName="[Calculation].[Column1]" caption="Column1" attribute="1" defaultMemberUniqueName="[Calculation].[Column1].[All]" allUniqueName="[Calculation].[Column1].[All]" dimensionUniqueName="[Calculation]" displayFolder="" count="0" memberValueDatatype="130" unbalanced="0"/>
    <cacheHierarchy uniqueName="[mtn_customer_churn].[Customer ID]" caption="Customer ID" attribute="1" defaultMemberUniqueName="[mtn_customer_churn].[Customer ID].[All]" allUniqueName="[mtn_customer_churn].[Customer ID].[All]" dimensionUniqueName="[mtn_customer_churn]" displayFolder="" count="0" memberValueDatatype="130" unbalanced="0"/>
    <cacheHierarchy uniqueName="[mtn_customer_churn].[Full Name]" caption="Full Name" attribute="1" defaultMemberUniqueName="[mtn_customer_churn].[Full Name].[All]" allUniqueName="[mtn_customer_churn].[Full Name].[All]" dimensionUniqueName="[mtn_customer_churn]" displayFolder="" count="0" memberValueDatatype="130" unbalanced="0"/>
    <cacheHierarchy uniqueName="[mtn_customer_churn].[Age]" caption="Age" attribute="1" defaultMemberUniqueName="[mtn_customer_churn].[Age].[All]" allUniqueName="[mtn_customer_churn].[Age].[All]" dimensionUniqueName="[mtn_customer_churn]" displayFolder="" count="0" memberValueDatatype="20" unbalanced="0"/>
    <cacheHierarchy uniqueName="[mtn_customer_churn].[State]" caption="State" attribute="1" defaultMemberUniqueName="[mtn_customer_churn].[State].[All]" allUniqueName="[mtn_customer_churn].[State].[All]" dimensionUniqueName="[mtn_customer_churn]" displayFolder="" count="0" memberValueDatatype="130" unbalanced="0"/>
    <cacheHierarchy uniqueName="[mtn_customer_churn].[Product_Name]" caption="Product_Name" attribute="1" defaultMemberUniqueName="[mtn_customer_churn].[Product_Name].[All]" allUniqueName="[mtn_customer_churn].[Product_Name].[All]" dimensionUniqueName="[mtn_customer_churn]" displayFolder="" count="0" memberValueDatatype="130" unbalanced="0"/>
    <cacheHierarchy uniqueName="[mtn_customer_churn].[Gender]" caption="Gender" attribute="1" defaultMemberUniqueName="[mtn_customer_churn].[Gender].[All]" allUniqueName="[mtn_customer_churn].[Gender].[All]" dimensionUniqueName="[mtn_customer_churn]" displayFolder="" count="0" memberValueDatatype="130" unbalanced="0"/>
    <cacheHierarchy uniqueName="[mtn_customer_churn].[Satisfaction Rate]" caption="Satisfaction Rate" attribute="1" defaultMemberUniqueName="[mtn_customer_churn].[Satisfaction Rate].[All]" allUniqueName="[mtn_customer_churn].[Satisfaction Rate].[All]" dimensionUniqueName="[mtn_customer_churn]" displayFolder="" count="0" memberValueDatatype="20" unbalanced="0"/>
    <cacheHierarchy uniqueName="[mtn_customer_churn].[Customer Review]" caption="Customer Review" attribute="1" defaultMemberUniqueName="[mtn_customer_churn].[Customer Review].[All]" allUniqueName="[mtn_customer_churn].[Customer Review].[All]" dimensionUniqueName="[mtn_customer_churn]" displayFolder="" count="0" memberValueDatatype="130" unbalanced="0"/>
    <cacheHierarchy uniqueName="[mtn_customer_churn].[Customer Tenure in months]" caption="Customer Tenure in months" attribute="1" defaultMemberUniqueName="[mtn_customer_churn].[Customer Tenure in months].[All]" allUniqueName="[mtn_customer_churn].[Customer Tenure in months].[All]" dimensionUniqueName="[mtn_customer_churn]" displayFolder="" count="0" memberValueDatatype="20" unbalanced="0"/>
    <cacheHierarchy uniqueName="[mtn_customer_churn].[Subscription Plan]" caption="Subscription Plan" attribute="1" defaultMemberUniqueName="[mtn_customer_churn].[Subscription Plan].[All]" allUniqueName="[mtn_customer_churn].[Subscription Plan].[All]" dimensionUniqueName="[mtn_customer_churn]" displayFolder="" count="0" memberValueDatatype="130" unbalanced="0"/>
    <cacheHierarchy uniqueName="[mtn_customer_churn].[Unit Price]" caption="Unit Price" attribute="1" defaultMemberUniqueName="[mtn_customer_churn].[Unit Price].[All]" allUniqueName="[mtn_customer_churn].[Unit Price].[All]" dimensionUniqueName="[mtn_customer_churn]" displayFolder="" count="0" memberValueDatatype="5" unbalanced="0"/>
    <cacheHierarchy uniqueName="[mtn_customer_churn].[Quantity Sold]" caption="Quantity Sold" attribute="1" defaultMemberUniqueName="[mtn_customer_churn].[Quantity Sold].[All]" allUniqueName="[mtn_customer_churn].[Quantity Sold].[All]" dimensionUniqueName="[mtn_customer_churn]" displayFolder="" count="0" memberValueDatatype="20" unbalanced="0"/>
    <cacheHierarchy uniqueName="[mtn_customer_churn].[Total Revenue]" caption="Total Revenue" attribute="1" defaultMemberUniqueName="[mtn_customer_churn].[Total Revenue].[All]" allUniqueName="[mtn_customer_churn].[Total Revenue].[All]" dimensionUniqueName="[mtn_customer_churn]" displayFolder="" count="0" memberValueDatatype="5" unbalanced="0"/>
    <cacheHierarchy uniqueName="[mtn_customer_churn].[Data Usage]" caption="Data Usage" attribute="1" defaultMemberUniqueName="[mtn_customer_churn].[Data Usage].[All]" allUniqueName="[mtn_customer_churn].[Data Usage].[All]" dimensionUniqueName="[mtn_customer_churn]" displayFolder="" count="0" memberValueDatatype="5" unbalanced="0"/>
    <cacheHierarchy uniqueName="[mtn_customer_churn].[Customer Churn Status]" caption="Customer Churn Status" attribute="1" defaultMemberUniqueName="[mtn_customer_churn].[Customer Churn Status].[All]" allUniqueName="[mtn_customer_churn].[Customer Churn Status].[All]" dimensionUniqueName="[mtn_customer_churn]" displayFolder="" count="0" memberValueDatatype="130" unbalanced="0"/>
    <cacheHierarchy uniqueName="[mtn_customer_churn].[Reasons for Churn]" caption="Reasons for Churn" attribute="1" defaultMemberUniqueName="[mtn_customer_churn].[Reasons for Churn].[All]" allUniqueName="[mtn_customer_churn].[Reasons for Churn].[All]" dimensionUniqueName="[mtn_customer_churn]" displayFolder="" count="0" memberValueDatatype="130" unbalanced="0"/>
    <cacheHierarchy uniqueName="[order date].[Order_date]" caption="Order_date" attribute="1" time="1" defaultMemberUniqueName="[order date].[Order_date].[All]" allUniqueName="[order date].[Order_date].[All]" dimensionUniqueName="[order date]" displayFolder="" count="0" memberValueDatatype="7" unbalanced="0"/>
    <cacheHierarchy uniqueName="[order date].[years]" caption="years" attribute="1" defaultMemberUniqueName="[order date].[years].[All]" allUniqueName="[order date].[years].[All]" dimensionUniqueName="[order date]" displayFolder="" count="2" memberValueDatatype="20" unbalanced="0"/>
    <cacheHierarchy uniqueName="[order date].[Months]" caption="Months" attribute="1" defaultMemberUniqueName="[order date].[Months].[All]" allUniqueName="[order date].[Months].[All]" dimensionUniqueName="[order date]" displayFolder="" count="2" memberValueDatatype="130" unbalanced="0">
      <fieldsUsage count="2">
        <fieldUsage x="-1"/>
        <fieldUsage x="1"/>
      </fieldsUsage>
    </cacheHierarchy>
    <cacheHierarchy uniqueName="[order date].[Months Num]" caption="Months Num" attribute="1" defaultMemberUniqueName="[order date].[Months Num].[All]" allUniqueName="[order date].[Months Num].[All]" dimensionUniqueName="[order date]" displayFolder="" count="0" memberValueDatatype="20" unbalanced="0"/>
    <cacheHierarchy uniqueName="[order date].[Weekdays]" caption="Weekdays" attribute="1" defaultMemberUniqueName="[order date].[Weekdays].[All]" allUniqueName="[order date].[Weekdays].[All]" dimensionUniqueName="[order date]" displayFolder="" count="0" memberValueDatatype="130" unbalanced="0"/>
    <cacheHierarchy uniqueName="[order date].[Days of the weeks]" caption="Days of the weeks" attribute="1" defaultMemberUniqueName="[order date].[Days of the weeks].[All]" allUniqueName="[order date].[Days of the weeks].[All]" dimensionUniqueName="[order date]" displayFolder="" count="0" memberValueDatatype="20" unbalanced="0"/>
    <cacheHierarchy uniqueName="[order date].[Weektype]" caption="Weektype" attribute="1" defaultMemberUniqueName="[order date].[Weektype].[All]" allUniqueName="[order date].[Weektype].[All]" dimensionUniqueName="[order date]" displayFolder="" count="0" memberValueDatatype="130" unbalanced="0"/>
    <cacheHierarchy uniqueName="[order date].[Quarter]" caption="Quarter" attribute="1" defaultMemberUniqueName="[order date].[Quarter].[All]" allUniqueName="[order date].[Quarter].[All]" dimensionUniqueName="[order date]" displayFolder="" count="0" memberValueDatatype="130" unbalanced="0"/>
    <cacheHierarchy uniqueName="[order date].[Week_Type]" caption="Week_Type" attribute="1" defaultMemberUniqueName="[order date].[Week_Type].[All]" allUniqueName="[order date].[Week_Type].[All]" dimensionUniqueName="[order date]" displayFolder="" count="0" memberValueDatatype="130" unbalanced="0"/>
    <cacheHierarchy uniqueName="[mtn_customer_churn].[Age_Group]" caption="Age_Group" attribute="1" defaultMemberUniqueName="[mtn_customer_churn].[Age_Group].[All]" allUniqueName="[mtn_customer_churn].[Age_Group].[All]" dimensionUniqueName="[mtn_customer_churn]" displayFolder="" count="0" memberValueDatatype="130" unbalanced="0" hidden="1"/>
    <cacheHierarchy uniqueName="[mtn_customer_churn].[Order_Date]" caption="Order_Date" attribute="1" time="1" defaultMemberUniqueName="[mtn_customer_churn].[Order_Date].[All]" allUniqueName="[mtn_customer_churn].[Order_Date].[All]" dimensionUniqueName="[mtn_customer_churn]" displayFolder="" count="0" memberValueDatatype="7" unbalanced="0" hidden="1"/>
    <cacheHierarchy uniqueName="[Measures].[Total Revenew]" caption="Total Revenew" measure="1" displayFolder="" measureGroup="Calculation" count="0"/>
    <cacheHierarchy uniqueName="[Measures].[Total Customers]" caption="Total Customers" measure="1" displayFolder="" measureGroup="Calculation" count="0"/>
    <cacheHierarchy uniqueName="[Measures].[Churned customer]" caption="Churned customer" measure="1" displayFolder="" measureGroup="Calculation" count="0" oneField="1">
      <fieldsUsage count="1">
        <fieldUsage x="0"/>
      </fieldsUsage>
    </cacheHierarchy>
    <cacheHierarchy uniqueName="[Measures].[Churn Rate]" caption="Churn Rate" measure="1" displayFolder="" measureGroup="Calculation" count="0"/>
    <cacheHierarchy uniqueName="[Measures].[Avg. Tenure (month)]" caption="Avg. Tenure (month)" measure="1" displayFolder="" measureGroup="Calculation" count="0"/>
    <cacheHierarchy uniqueName="[Measures].[Avg.Satisfaction Score]" caption="Avg.Satisfaction Score" measure="1" displayFolder="" measureGroup="Calculation" count="0"/>
    <cacheHierarchy uniqueName="[Measures].[product]" caption="product" measure="1" displayFolder="" measureGroup="Calculation" count="0"/>
    <cacheHierarchy uniqueName="[Measures].[Total Qty Sold]" caption="Total Qty Sold" measure="1" displayFolder="" measureGroup="Calculation" count="0"/>
    <cacheHierarchy uniqueName="[Measures].[Total Unit Sold]" caption="Total Unit Sold" measure="1" displayFolder="" measureGroup="Calculation" count="0"/>
    <cacheHierarchy uniqueName="[Measures].[Avg. Revenue per customer]" caption="Avg. Revenue per customer" measure="1" displayFolder="" measureGroup="mtn_customer_churn" count="0"/>
    <cacheHierarchy uniqueName="[Measures].[Avg. revenue per product]" caption="Avg. revenue per product" measure="1" displayFolder="" measureGroup="Calculation" count="0"/>
    <cacheHierarchy uniqueName="[Measures].[__XL_Count mtn_customer_churn]" caption="__XL_Count mtn_customer_churn" measure="1" displayFolder="" measureGroup="mtn_customer_churn" count="0" hidden="1"/>
    <cacheHierarchy uniqueName="[Measures].[__XL_Count Age-Group]" caption="__XL_Count Age-Group" measure="1" displayFolder="" measureGroup="Age-Group" count="0" hidden="1"/>
    <cacheHierarchy uniqueName="[Measures].[__XL_Count order date]" caption="__XL_Count order date" measure="1" displayFolder="" measureGroup="order date" count="0" hidden="1"/>
    <cacheHierarchy uniqueName="[Measures].[__XL_Count Calculation]" caption="__XL_Count Calculation" measure="1" displayFolder="" measureGroup="Calculation" count="0" hidden="1"/>
    <cacheHierarchy uniqueName="[Measures].[__No measures defined]" caption="__No measures defined" measure="1" displayFolder="" count="0" hidden="1"/>
    <cacheHierarchy uniqueName="[Measures].[Sum of Data Usage]" caption="Sum of Data Usage" measure="1" displayFolder="" measureGroup="mtn_customer_churn" count="0" hidden="1">
      <extLst>
        <ext xmlns:x15="http://schemas.microsoft.com/office/spreadsheetml/2010/11/main" uri="{B97F6D7D-B522-45F9-BDA1-12C45D357490}">
          <x15:cacheHierarchy aggregatedColumn="16"/>
        </ext>
      </extLst>
    </cacheHierarchy>
    <cacheHierarchy uniqueName="[Measures].[Sum of Quantity Sold]" caption="Sum of Quantity Sold" measure="1" displayFolder="" measureGroup="mtn_customer_churn" count="0" hidden="1">
      <extLst>
        <ext xmlns:x15="http://schemas.microsoft.com/office/spreadsheetml/2010/11/main" uri="{B97F6D7D-B522-45F9-BDA1-12C45D357490}">
          <x15:cacheHierarchy aggregatedColumn="14"/>
        </ext>
      </extLst>
    </cacheHierarchy>
    <cacheHierarchy uniqueName="[Measures].[Count of Customer Churn Status]" caption="Count of Customer Churn Status" measure="1" displayFolder="" measureGroup="mtn_customer_churn" count="0" hidden="1">
      <extLst>
        <ext xmlns:x15="http://schemas.microsoft.com/office/spreadsheetml/2010/11/main" uri="{B97F6D7D-B522-45F9-BDA1-12C45D357490}">
          <x15:cacheHierarchy aggregatedColumn="17"/>
        </ext>
      </extLst>
    </cacheHierarchy>
    <cacheHierarchy uniqueName="[Measures].[Sum of Days of the weeks]" caption="Sum of Days of the weeks" measure="1" displayFolder="" measureGroup="order date" count="0" hidden="1">
      <extLst>
        <ext xmlns:x15="http://schemas.microsoft.com/office/spreadsheetml/2010/11/main" uri="{B97F6D7D-B522-45F9-BDA1-12C45D357490}">
          <x15:cacheHierarchy aggregatedColumn="24"/>
        </ext>
      </extLst>
    </cacheHierarchy>
  </cacheHierarchies>
  <kpis count="0"/>
  <dimensions count="5">
    <dimension name="Age-Group" uniqueName="[Age-Group]" caption="Age-Group"/>
    <dimension name="Calculation" uniqueName="[Calculation]" caption="Calculation"/>
    <dimension measure="1" name="Measures" uniqueName="[Measures]" caption="Measures"/>
    <dimension name="mtn_customer_churn" uniqueName="[mtn_customer_churn]" caption="mtn_customer_churn"/>
    <dimension name="order date" uniqueName="[order date]" caption="order date"/>
  </dimensions>
  <measureGroups count="4">
    <measureGroup name="Age-Group" caption="Age-Group"/>
    <measureGroup name="Calculation" caption="Calculation"/>
    <measureGroup name="mtn_customer_churn" caption="mtn_customer_churn"/>
    <measureGroup name="order date" caption="order dat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mah" refreshedDate="46057.838586921294" backgroundQuery="1" createdVersion="8" refreshedVersion="8" minRefreshableVersion="3" recordCount="0" supportSubquery="1" supportAdvancedDrill="1" xr:uid="{302785E5-C9BD-4456-97ED-C78F0B111A3C}">
  <cacheSource type="external" connectionId="5"/>
  <cacheFields count="2">
    <cacheField name="[Measures].[Total Customers]" caption="Total Customers" numFmtId="0" hierarchy="31" level="32767"/>
    <cacheField name="[order date].[Months].[Months]" caption="Months" numFmtId="0" hierarchy="21" level="1">
      <sharedItems containsSemiMixedTypes="0" containsNonDate="0" containsString="0"/>
    </cacheField>
  </cacheFields>
  <cacheHierarchies count="50">
    <cacheHierarchy uniqueName="[Age-Group].[Age_Group]" caption="Age_Group" attribute="1" defaultMemberUniqueName="[Age-Group].[Age_Group].[All]" allUniqueName="[Age-Group].[Age_Group].[All]" dimensionUniqueName="[Age-Group]" displayFolder="" count="0" memberValueDatatype="130" unbalanced="0"/>
    <cacheHierarchy uniqueName="[Age-Group].[Age_num]" caption="Age_num" attribute="1" defaultMemberUniqueName="[Age-Group].[Age_num].[All]" allUniqueName="[Age-Group].[Age_num].[All]" dimensionUniqueName="[Age-Group]" displayFolder="" count="0" memberValueDatatype="130" unbalanced="0"/>
    <cacheHierarchy uniqueName="[Calculation].[Column1]" caption="Column1" attribute="1" defaultMemberUniqueName="[Calculation].[Column1].[All]" allUniqueName="[Calculation].[Column1].[All]" dimensionUniqueName="[Calculation]" displayFolder="" count="0" memberValueDatatype="130" unbalanced="0"/>
    <cacheHierarchy uniqueName="[mtn_customer_churn].[Customer ID]" caption="Customer ID" attribute="1" defaultMemberUniqueName="[mtn_customer_churn].[Customer ID].[All]" allUniqueName="[mtn_customer_churn].[Customer ID].[All]" dimensionUniqueName="[mtn_customer_churn]" displayFolder="" count="0" memberValueDatatype="130" unbalanced="0"/>
    <cacheHierarchy uniqueName="[mtn_customer_churn].[Full Name]" caption="Full Name" attribute="1" defaultMemberUniqueName="[mtn_customer_churn].[Full Name].[All]" allUniqueName="[mtn_customer_churn].[Full Name].[All]" dimensionUniqueName="[mtn_customer_churn]" displayFolder="" count="0" memberValueDatatype="130" unbalanced="0"/>
    <cacheHierarchy uniqueName="[mtn_customer_churn].[Age]" caption="Age" attribute="1" defaultMemberUniqueName="[mtn_customer_churn].[Age].[All]" allUniqueName="[mtn_customer_churn].[Age].[All]" dimensionUniqueName="[mtn_customer_churn]" displayFolder="" count="0" memberValueDatatype="20" unbalanced="0"/>
    <cacheHierarchy uniqueName="[mtn_customer_churn].[State]" caption="State" attribute="1" defaultMemberUniqueName="[mtn_customer_churn].[State].[All]" allUniqueName="[mtn_customer_churn].[State].[All]" dimensionUniqueName="[mtn_customer_churn]" displayFolder="" count="0" memberValueDatatype="130" unbalanced="0"/>
    <cacheHierarchy uniqueName="[mtn_customer_churn].[Product_Name]" caption="Product_Name" attribute="1" defaultMemberUniqueName="[mtn_customer_churn].[Product_Name].[All]" allUniqueName="[mtn_customer_churn].[Product_Name].[All]" dimensionUniqueName="[mtn_customer_churn]" displayFolder="" count="0" memberValueDatatype="130" unbalanced="0"/>
    <cacheHierarchy uniqueName="[mtn_customer_churn].[Gender]" caption="Gender" attribute="1" defaultMemberUniqueName="[mtn_customer_churn].[Gender].[All]" allUniqueName="[mtn_customer_churn].[Gender].[All]" dimensionUniqueName="[mtn_customer_churn]" displayFolder="" count="0" memberValueDatatype="130" unbalanced="0"/>
    <cacheHierarchy uniqueName="[mtn_customer_churn].[Satisfaction Rate]" caption="Satisfaction Rate" attribute="1" defaultMemberUniqueName="[mtn_customer_churn].[Satisfaction Rate].[All]" allUniqueName="[mtn_customer_churn].[Satisfaction Rate].[All]" dimensionUniqueName="[mtn_customer_churn]" displayFolder="" count="0" memberValueDatatype="20" unbalanced="0"/>
    <cacheHierarchy uniqueName="[mtn_customer_churn].[Customer Review]" caption="Customer Review" attribute="1" defaultMemberUniqueName="[mtn_customer_churn].[Customer Review].[All]" allUniqueName="[mtn_customer_churn].[Customer Review].[All]" dimensionUniqueName="[mtn_customer_churn]" displayFolder="" count="0" memberValueDatatype="130" unbalanced="0"/>
    <cacheHierarchy uniqueName="[mtn_customer_churn].[Customer Tenure in months]" caption="Customer Tenure in months" attribute="1" defaultMemberUniqueName="[mtn_customer_churn].[Customer Tenure in months].[All]" allUniqueName="[mtn_customer_churn].[Customer Tenure in months].[All]" dimensionUniqueName="[mtn_customer_churn]" displayFolder="" count="0" memberValueDatatype="20" unbalanced="0"/>
    <cacheHierarchy uniqueName="[mtn_customer_churn].[Subscription Plan]" caption="Subscription Plan" attribute="1" defaultMemberUniqueName="[mtn_customer_churn].[Subscription Plan].[All]" allUniqueName="[mtn_customer_churn].[Subscription Plan].[All]" dimensionUniqueName="[mtn_customer_churn]" displayFolder="" count="0" memberValueDatatype="130" unbalanced="0"/>
    <cacheHierarchy uniqueName="[mtn_customer_churn].[Unit Price]" caption="Unit Price" attribute="1" defaultMemberUniqueName="[mtn_customer_churn].[Unit Price].[All]" allUniqueName="[mtn_customer_churn].[Unit Price].[All]" dimensionUniqueName="[mtn_customer_churn]" displayFolder="" count="0" memberValueDatatype="5" unbalanced="0"/>
    <cacheHierarchy uniqueName="[mtn_customer_churn].[Quantity Sold]" caption="Quantity Sold" attribute="1" defaultMemberUniqueName="[mtn_customer_churn].[Quantity Sold].[All]" allUniqueName="[mtn_customer_churn].[Quantity Sold].[All]" dimensionUniqueName="[mtn_customer_churn]" displayFolder="" count="0" memberValueDatatype="20" unbalanced="0"/>
    <cacheHierarchy uniqueName="[mtn_customer_churn].[Total Revenue]" caption="Total Revenue" attribute="1" defaultMemberUniqueName="[mtn_customer_churn].[Total Revenue].[All]" allUniqueName="[mtn_customer_churn].[Total Revenue].[All]" dimensionUniqueName="[mtn_customer_churn]" displayFolder="" count="0" memberValueDatatype="5" unbalanced="0"/>
    <cacheHierarchy uniqueName="[mtn_customer_churn].[Data Usage]" caption="Data Usage" attribute="1" defaultMemberUniqueName="[mtn_customer_churn].[Data Usage].[All]" allUniqueName="[mtn_customer_churn].[Data Usage].[All]" dimensionUniqueName="[mtn_customer_churn]" displayFolder="" count="0" memberValueDatatype="5" unbalanced="0"/>
    <cacheHierarchy uniqueName="[mtn_customer_churn].[Customer Churn Status]" caption="Customer Churn Status" attribute="1" defaultMemberUniqueName="[mtn_customer_churn].[Customer Churn Status].[All]" allUniqueName="[mtn_customer_churn].[Customer Churn Status].[All]" dimensionUniqueName="[mtn_customer_churn]" displayFolder="" count="0" memberValueDatatype="130" unbalanced="0"/>
    <cacheHierarchy uniqueName="[mtn_customer_churn].[Reasons for Churn]" caption="Reasons for Churn" attribute="1" defaultMemberUniqueName="[mtn_customer_churn].[Reasons for Churn].[All]" allUniqueName="[mtn_customer_churn].[Reasons for Churn].[All]" dimensionUniqueName="[mtn_customer_churn]" displayFolder="" count="0" memberValueDatatype="130" unbalanced="0"/>
    <cacheHierarchy uniqueName="[order date].[Order_date]" caption="Order_date" attribute="1" time="1" defaultMemberUniqueName="[order date].[Order_date].[All]" allUniqueName="[order date].[Order_date].[All]" dimensionUniqueName="[order date]" displayFolder="" count="0" memberValueDatatype="7" unbalanced="0"/>
    <cacheHierarchy uniqueName="[order date].[years]" caption="years" attribute="1" defaultMemberUniqueName="[order date].[years].[All]" allUniqueName="[order date].[years].[All]" dimensionUniqueName="[order date]" displayFolder="" count="2" memberValueDatatype="20" unbalanced="0"/>
    <cacheHierarchy uniqueName="[order date].[Months]" caption="Months" attribute="1" defaultMemberUniqueName="[order date].[Months].[All]" allUniqueName="[order date].[Months].[All]" dimensionUniqueName="[order date]" displayFolder="" count="2" memberValueDatatype="130" unbalanced="0">
      <fieldsUsage count="2">
        <fieldUsage x="-1"/>
        <fieldUsage x="1"/>
      </fieldsUsage>
    </cacheHierarchy>
    <cacheHierarchy uniqueName="[order date].[Months Num]" caption="Months Num" attribute="1" defaultMemberUniqueName="[order date].[Months Num].[All]" allUniqueName="[order date].[Months Num].[All]" dimensionUniqueName="[order date]" displayFolder="" count="0" memberValueDatatype="20" unbalanced="0"/>
    <cacheHierarchy uniqueName="[order date].[Weekdays]" caption="Weekdays" attribute="1" defaultMemberUniqueName="[order date].[Weekdays].[All]" allUniqueName="[order date].[Weekdays].[All]" dimensionUniqueName="[order date]" displayFolder="" count="0" memberValueDatatype="130" unbalanced="0"/>
    <cacheHierarchy uniqueName="[order date].[Days of the weeks]" caption="Days of the weeks" attribute="1" defaultMemberUniqueName="[order date].[Days of the weeks].[All]" allUniqueName="[order date].[Days of the weeks].[All]" dimensionUniqueName="[order date]" displayFolder="" count="0" memberValueDatatype="20" unbalanced="0"/>
    <cacheHierarchy uniqueName="[order date].[Weektype]" caption="Weektype" attribute="1" defaultMemberUniqueName="[order date].[Weektype].[All]" allUniqueName="[order date].[Weektype].[All]" dimensionUniqueName="[order date]" displayFolder="" count="0" memberValueDatatype="130" unbalanced="0"/>
    <cacheHierarchy uniqueName="[order date].[Quarter]" caption="Quarter" attribute="1" defaultMemberUniqueName="[order date].[Quarter].[All]" allUniqueName="[order date].[Quarter].[All]" dimensionUniqueName="[order date]" displayFolder="" count="0" memberValueDatatype="130" unbalanced="0"/>
    <cacheHierarchy uniqueName="[order date].[Week_Type]" caption="Week_Type" attribute="1" defaultMemberUniqueName="[order date].[Week_Type].[All]" allUniqueName="[order date].[Week_Type].[All]" dimensionUniqueName="[order date]" displayFolder="" count="0" memberValueDatatype="130" unbalanced="0"/>
    <cacheHierarchy uniqueName="[mtn_customer_churn].[Age_Group]" caption="Age_Group" attribute="1" defaultMemberUniqueName="[mtn_customer_churn].[Age_Group].[All]" allUniqueName="[mtn_customer_churn].[Age_Group].[All]" dimensionUniqueName="[mtn_customer_churn]" displayFolder="" count="0" memberValueDatatype="130" unbalanced="0" hidden="1"/>
    <cacheHierarchy uniqueName="[mtn_customer_churn].[Order_Date]" caption="Order_Date" attribute="1" time="1" defaultMemberUniqueName="[mtn_customer_churn].[Order_Date].[All]" allUniqueName="[mtn_customer_churn].[Order_Date].[All]" dimensionUniqueName="[mtn_customer_churn]" displayFolder="" count="0" memberValueDatatype="7" unbalanced="0" hidden="1"/>
    <cacheHierarchy uniqueName="[Measures].[Total Revenew]" caption="Total Revenew" measure="1" displayFolder="" measureGroup="Calculation" count="0"/>
    <cacheHierarchy uniqueName="[Measures].[Total Customers]" caption="Total Customers" measure="1" displayFolder="" measureGroup="Calculation" count="0" oneField="1">
      <fieldsUsage count="1">
        <fieldUsage x="0"/>
      </fieldsUsage>
    </cacheHierarchy>
    <cacheHierarchy uniqueName="[Measures].[Churned customer]" caption="Churned customer" measure="1" displayFolder="" measureGroup="Calculation" count="0"/>
    <cacheHierarchy uniqueName="[Measures].[Churn Rate]" caption="Churn Rate" measure="1" displayFolder="" measureGroup="Calculation" count="0"/>
    <cacheHierarchy uniqueName="[Measures].[Avg. Tenure (month)]" caption="Avg. Tenure (month)" measure="1" displayFolder="" measureGroup="Calculation" count="0"/>
    <cacheHierarchy uniqueName="[Measures].[Avg.Satisfaction Score]" caption="Avg.Satisfaction Score" measure="1" displayFolder="" measureGroup="Calculation" count="0"/>
    <cacheHierarchy uniqueName="[Measures].[product]" caption="product" measure="1" displayFolder="" measureGroup="Calculation" count="0"/>
    <cacheHierarchy uniqueName="[Measures].[Total Qty Sold]" caption="Total Qty Sold" measure="1" displayFolder="" measureGroup="Calculation" count="0"/>
    <cacheHierarchy uniqueName="[Measures].[Total Unit Sold]" caption="Total Unit Sold" measure="1" displayFolder="" measureGroup="Calculation" count="0"/>
    <cacheHierarchy uniqueName="[Measures].[Avg. Revenue per customer]" caption="Avg. Revenue per customer" measure="1" displayFolder="" measureGroup="mtn_customer_churn" count="0"/>
    <cacheHierarchy uniqueName="[Measures].[Avg. revenue per product]" caption="Avg. revenue per product" measure="1" displayFolder="" measureGroup="Calculation" count="0"/>
    <cacheHierarchy uniqueName="[Measures].[__XL_Count mtn_customer_churn]" caption="__XL_Count mtn_customer_churn" measure="1" displayFolder="" measureGroup="mtn_customer_churn" count="0" hidden="1"/>
    <cacheHierarchy uniqueName="[Measures].[__XL_Count Age-Group]" caption="__XL_Count Age-Group" measure="1" displayFolder="" measureGroup="Age-Group" count="0" hidden="1"/>
    <cacheHierarchy uniqueName="[Measures].[__XL_Count order date]" caption="__XL_Count order date" measure="1" displayFolder="" measureGroup="order date" count="0" hidden="1"/>
    <cacheHierarchy uniqueName="[Measures].[__XL_Count Calculation]" caption="__XL_Count Calculation" measure="1" displayFolder="" measureGroup="Calculation" count="0" hidden="1"/>
    <cacheHierarchy uniqueName="[Measures].[__No measures defined]" caption="__No measures defined" measure="1" displayFolder="" count="0" hidden="1"/>
    <cacheHierarchy uniqueName="[Measures].[Sum of Data Usage]" caption="Sum of Data Usage" measure="1" displayFolder="" measureGroup="mtn_customer_churn" count="0" hidden="1">
      <extLst>
        <ext xmlns:x15="http://schemas.microsoft.com/office/spreadsheetml/2010/11/main" uri="{B97F6D7D-B522-45F9-BDA1-12C45D357490}">
          <x15:cacheHierarchy aggregatedColumn="16"/>
        </ext>
      </extLst>
    </cacheHierarchy>
    <cacheHierarchy uniqueName="[Measures].[Sum of Quantity Sold]" caption="Sum of Quantity Sold" measure="1" displayFolder="" measureGroup="mtn_customer_churn" count="0" hidden="1">
      <extLst>
        <ext xmlns:x15="http://schemas.microsoft.com/office/spreadsheetml/2010/11/main" uri="{B97F6D7D-B522-45F9-BDA1-12C45D357490}">
          <x15:cacheHierarchy aggregatedColumn="14"/>
        </ext>
      </extLst>
    </cacheHierarchy>
    <cacheHierarchy uniqueName="[Measures].[Count of Customer Churn Status]" caption="Count of Customer Churn Status" measure="1" displayFolder="" measureGroup="mtn_customer_churn" count="0" hidden="1">
      <extLst>
        <ext xmlns:x15="http://schemas.microsoft.com/office/spreadsheetml/2010/11/main" uri="{B97F6D7D-B522-45F9-BDA1-12C45D357490}">
          <x15:cacheHierarchy aggregatedColumn="17"/>
        </ext>
      </extLst>
    </cacheHierarchy>
    <cacheHierarchy uniqueName="[Measures].[Sum of Days of the weeks]" caption="Sum of Days of the weeks" measure="1" displayFolder="" measureGroup="order date" count="0" hidden="1">
      <extLst>
        <ext xmlns:x15="http://schemas.microsoft.com/office/spreadsheetml/2010/11/main" uri="{B97F6D7D-B522-45F9-BDA1-12C45D357490}">
          <x15:cacheHierarchy aggregatedColumn="24"/>
        </ext>
      </extLst>
    </cacheHierarchy>
  </cacheHierarchies>
  <kpis count="0"/>
  <dimensions count="5">
    <dimension name="Age-Group" uniqueName="[Age-Group]" caption="Age-Group"/>
    <dimension name="Calculation" uniqueName="[Calculation]" caption="Calculation"/>
    <dimension measure="1" name="Measures" uniqueName="[Measures]" caption="Measures"/>
    <dimension name="mtn_customer_churn" uniqueName="[mtn_customer_churn]" caption="mtn_customer_churn"/>
    <dimension name="order date" uniqueName="[order date]" caption="order date"/>
  </dimensions>
  <measureGroups count="4">
    <measureGroup name="Age-Group" caption="Age-Group"/>
    <measureGroup name="Calculation" caption="Calculation"/>
    <measureGroup name="mtn_customer_churn" caption="mtn_customer_churn"/>
    <measureGroup name="order date" caption="order dat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mah" refreshedDate="46057.824699189812" backgroundQuery="1" createdVersion="3" refreshedVersion="8" minRefreshableVersion="3" recordCount="0" supportSubquery="1" supportAdvancedDrill="1" xr:uid="{0962B070-E49A-438A-9A39-933DA95C9DE8}">
  <cacheSource type="external" connectionId="5">
    <extLst>
      <ext xmlns:x14="http://schemas.microsoft.com/office/spreadsheetml/2009/9/main" uri="{F057638F-6D5F-4e77-A914-E7F072B9BCA8}">
        <x14:sourceConnection name="ThisWorkbookDataModel"/>
      </ext>
    </extLst>
  </cacheSource>
  <cacheFields count="0"/>
  <cacheHierarchies count="50">
    <cacheHierarchy uniqueName="[Age-Group].[Age_Group]" caption="Age_Group" attribute="1" defaultMemberUniqueName="[Age-Group].[Age_Group].[All]" allUniqueName="[Age-Group].[Age_Group].[All]" dimensionUniqueName="[Age-Group]" displayFolder="" count="0" memberValueDatatype="130" unbalanced="0"/>
    <cacheHierarchy uniqueName="[Age-Group].[Age_num]" caption="Age_num" attribute="1" defaultMemberUniqueName="[Age-Group].[Age_num].[All]" allUniqueName="[Age-Group].[Age_num].[All]" dimensionUniqueName="[Age-Group]" displayFolder="" count="0" memberValueDatatype="130" unbalanced="0"/>
    <cacheHierarchy uniqueName="[Calculation].[Column1]" caption="Column1" attribute="1" defaultMemberUniqueName="[Calculation].[Column1].[All]" allUniqueName="[Calculation].[Column1].[All]" dimensionUniqueName="[Calculation]" displayFolder="" count="0" memberValueDatatype="130" unbalanced="0"/>
    <cacheHierarchy uniqueName="[mtn_customer_churn].[Customer ID]" caption="Customer ID" attribute="1" defaultMemberUniqueName="[mtn_customer_churn].[Customer ID].[All]" allUniqueName="[mtn_customer_churn].[Customer ID].[All]" dimensionUniqueName="[mtn_customer_churn]" displayFolder="" count="0" memberValueDatatype="130" unbalanced="0"/>
    <cacheHierarchy uniqueName="[mtn_customer_churn].[Full Name]" caption="Full Name" attribute="1" defaultMemberUniqueName="[mtn_customer_churn].[Full Name].[All]" allUniqueName="[mtn_customer_churn].[Full Name].[All]" dimensionUniqueName="[mtn_customer_churn]" displayFolder="" count="0" memberValueDatatype="130" unbalanced="0"/>
    <cacheHierarchy uniqueName="[mtn_customer_churn].[Age]" caption="Age" attribute="1" defaultMemberUniqueName="[mtn_customer_churn].[Age].[All]" allUniqueName="[mtn_customer_churn].[Age].[All]" dimensionUniqueName="[mtn_customer_churn]" displayFolder="" count="0" memberValueDatatype="20" unbalanced="0"/>
    <cacheHierarchy uniqueName="[mtn_customer_churn].[State]" caption="State" attribute="1" defaultMemberUniqueName="[mtn_customer_churn].[State].[All]" allUniqueName="[mtn_customer_churn].[State].[All]" dimensionUniqueName="[mtn_customer_churn]" displayFolder="" count="0" memberValueDatatype="130" unbalanced="0"/>
    <cacheHierarchy uniqueName="[mtn_customer_churn].[Product_Name]" caption="Product_Name" attribute="1" defaultMemberUniqueName="[mtn_customer_churn].[Product_Name].[All]" allUniqueName="[mtn_customer_churn].[Product_Name].[All]" dimensionUniqueName="[mtn_customer_churn]" displayFolder="" count="2" memberValueDatatype="130" unbalanced="0"/>
    <cacheHierarchy uniqueName="[mtn_customer_churn].[Gender]" caption="Gender" attribute="1" defaultMemberUniqueName="[mtn_customer_churn].[Gender].[All]" allUniqueName="[mtn_customer_churn].[Gender].[All]" dimensionUniqueName="[mtn_customer_churn]" displayFolder="" count="0" memberValueDatatype="130" unbalanced="0"/>
    <cacheHierarchy uniqueName="[mtn_customer_churn].[Satisfaction Rate]" caption="Satisfaction Rate" attribute="1" defaultMemberUniqueName="[mtn_customer_churn].[Satisfaction Rate].[All]" allUniqueName="[mtn_customer_churn].[Satisfaction Rate].[All]" dimensionUniqueName="[mtn_customer_churn]" displayFolder="" count="0" memberValueDatatype="20" unbalanced="0"/>
    <cacheHierarchy uniqueName="[mtn_customer_churn].[Customer Review]" caption="Customer Review" attribute="1" defaultMemberUniqueName="[mtn_customer_churn].[Customer Review].[All]" allUniqueName="[mtn_customer_churn].[Customer Review].[All]" dimensionUniqueName="[mtn_customer_churn]" displayFolder="" count="0" memberValueDatatype="130" unbalanced="0"/>
    <cacheHierarchy uniqueName="[mtn_customer_churn].[Customer Tenure in months]" caption="Customer Tenure in months" attribute="1" defaultMemberUniqueName="[mtn_customer_churn].[Customer Tenure in months].[All]" allUniqueName="[mtn_customer_churn].[Customer Tenure in months].[All]" dimensionUniqueName="[mtn_customer_churn]" displayFolder="" count="0" memberValueDatatype="20" unbalanced="0"/>
    <cacheHierarchy uniqueName="[mtn_customer_churn].[Subscription Plan]" caption="Subscription Plan" attribute="1" defaultMemberUniqueName="[mtn_customer_churn].[Subscription Plan].[All]" allUniqueName="[mtn_customer_churn].[Subscription Plan].[All]" dimensionUniqueName="[mtn_customer_churn]" displayFolder="" count="0" memberValueDatatype="130" unbalanced="0"/>
    <cacheHierarchy uniqueName="[mtn_customer_churn].[Unit Price]" caption="Unit Price" attribute="1" defaultMemberUniqueName="[mtn_customer_churn].[Unit Price].[All]" allUniqueName="[mtn_customer_churn].[Unit Price].[All]" dimensionUniqueName="[mtn_customer_churn]" displayFolder="" count="0" memberValueDatatype="5" unbalanced="0"/>
    <cacheHierarchy uniqueName="[mtn_customer_churn].[Quantity Sold]" caption="Quantity Sold" attribute="1" defaultMemberUniqueName="[mtn_customer_churn].[Quantity Sold].[All]" allUniqueName="[mtn_customer_churn].[Quantity Sold].[All]" dimensionUniqueName="[mtn_customer_churn]" displayFolder="" count="0" memberValueDatatype="20" unbalanced="0"/>
    <cacheHierarchy uniqueName="[mtn_customer_churn].[Total Revenue]" caption="Total Revenue" attribute="1" defaultMemberUniqueName="[mtn_customer_churn].[Total Revenue].[All]" allUniqueName="[mtn_customer_churn].[Total Revenue].[All]" dimensionUniqueName="[mtn_customer_churn]" displayFolder="" count="0" memberValueDatatype="5" unbalanced="0"/>
    <cacheHierarchy uniqueName="[mtn_customer_churn].[Data Usage]" caption="Data Usage" attribute="1" defaultMemberUniqueName="[mtn_customer_churn].[Data Usage].[All]" allUniqueName="[mtn_customer_churn].[Data Usage].[All]" dimensionUniqueName="[mtn_customer_churn]" displayFolder="" count="0" memberValueDatatype="5" unbalanced="0"/>
    <cacheHierarchy uniqueName="[mtn_customer_churn].[Customer Churn Status]" caption="Customer Churn Status" attribute="1" defaultMemberUniqueName="[mtn_customer_churn].[Customer Churn Status].[All]" allUniqueName="[mtn_customer_churn].[Customer Churn Status].[All]" dimensionUniqueName="[mtn_customer_churn]" displayFolder="" count="0" memberValueDatatype="130" unbalanced="0"/>
    <cacheHierarchy uniqueName="[mtn_customer_churn].[Reasons for Churn]" caption="Reasons for Churn" attribute="1" defaultMemberUniqueName="[mtn_customer_churn].[Reasons for Churn].[All]" allUniqueName="[mtn_customer_churn].[Reasons for Churn].[All]" dimensionUniqueName="[mtn_customer_churn]" displayFolder="" count="0" memberValueDatatype="130" unbalanced="0"/>
    <cacheHierarchy uniqueName="[order date].[Order_date]" caption="Order_date" attribute="1" time="1" defaultMemberUniqueName="[order date].[Order_date].[All]" allUniqueName="[order date].[Order_date].[All]" dimensionUniqueName="[order date]" displayFolder="" count="0" memberValueDatatype="7" unbalanced="0"/>
    <cacheHierarchy uniqueName="[order date].[years]" caption="years" attribute="1" defaultMemberUniqueName="[order date].[years].[All]" allUniqueName="[order date].[years].[All]" dimensionUniqueName="[order date]" displayFolder="" count="2" memberValueDatatype="20" unbalanced="0"/>
    <cacheHierarchy uniqueName="[order date].[Months]" caption="Months" attribute="1" defaultMemberUniqueName="[order date].[Months].[All]" allUniqueName="[order date].[Months].[All]" dimensionUniqueName="[order date]" displayFolder="" count="2" memberValueDatatype="130" unbalanced="0"/>
    <cacheHierarchy uniqueName="[order date].[Months Num]" caption="Months Num" attribute="1" defaultMemberUniqueName="[order date].[Months Num].[All]" allUniqueName="[order date].[Months Num].[All]" dimensionUniqueName="[order date]" displayFolder="" count="0" memberValueDatatype="20" unbalanced="0"/>
    <cacheHierarchy uniqueName="[order date].[Weekdays]" caption="Weekdays" attribute="1" defaultMemberUniqueName="[order date].[Weekdays].[All]" allUniqueName="[order date].[Weekdays].[All]" dimensionUniqueName="[order date]" displayFolder="" count="0" memberValueDatatype="130" unbalanced="0"/>
    <cacheHierarchy uniqueName="[order date].[Days of the weeks]" caption="Days of the weeks" attribute="1" defaultMemberUniqueName="[order date].[Days of the weeks].[All]" allUniqueName="[order date].[Days of the weeks].[All]" dimensionUniqueName="[order date]" displayFolder="" count="0" memberValueDatatype="20" unbalanced="0"/>
    <cacheHierarchy uniqueName="[order date].[Weektype]" caption="Weektype" attribute="1" defaultMemberUniqueName="[order date].[Weektype].[All]" allUniqueName="[order date].[Weektype].[All]" dimensionUniqueName="[order date]" displayFolder="" count="0" memberValueDatatype="130" unbalanced="0"/>
    <cacheHierarchy uniqueName="[order date].[Quarter]" caption="Quarter" attribute="1" defaultMemberUniqueName="[order date].[Quarter].[All]" allUniqueName="[order date].[Quarter].[All]" dimensionUniqueName="[order date]" displayFolder="" count="0" memberValueDatatype="130" unbalanced="0"/>
    <cacheHierarchy uniqueName="[order date].[Week_Type]" caption="Week_Type" attribute="1" defaultMemberUniqueName="[order date].[Week_Type].[All]" allUniqueName="[order date].[Week_Type].[All]" dimensionUniqueName="[order date]" displayFolder="" count="0" memberValueDatatype="130" unbalanced="0"/>
    <cacheHierarchy uniqueName="[mtn_customer_churn].[Age_Group]" caption="Age_Group" attribute="1" defaultMemberUniqueName="[mtn_customer_churn].[Age_Group].[All]" allUniqueName="[mtn_customer_churn].[Age_Group].[All]" dimensionUniqueName="[mtn_customer_churn]" displayFolder="" count="0" memberValueDatatype="130" unbalanced="0" hidden="1"/>
    <cacheHierarchy uniqueName="[mtn_customer_churn].[Order_Date]" caption="Order_Date" attribute="1" time="1" defaultMemberUniqueName="[mtn_customer_churn].[Order_Date].[All]" allUniqueName="[mtn_customer_churn].[Order_Date].[All]" dimensionUniqueName="[mtn_customer_churn]" displayFolder="" count="0" memberValueDatatype="7" unbalanced="0" hidden="1"/>
    <cacheHierarchy uniqueName="[Measures].[Total Revenew]" caption="Total Revenew" measure="1" displayFolder="" measureGroup="Calculation" count="0"/>
    <cacheHierarchy uniqueName="[Measures].[Total Customers]" caption="Total Customers" measure="1" displayFolder="" measureGroup="Calculation" count="0"/>
    <cacheHierarchy uniqueName="[Measures].[Churned customer]" caption="Churned customer" measure="1" displayFolder="" measureGroup="Calculation" count="0"/>
    <cacheHierarchy uniqueName="[Measures].[Churn Rate]" caption="Churn Rate" measure="1" displayFolder="" measureGroup="Calculation" count="0"/>
    <cacheHierarchy uniqueName="[Measures].[Avg. Tenure (month)]" caption="Avg. Tenure (month)" measure="1" displayFolder="" measureGroup="Calculation" count="0"/>
    <cacheHierarchy uniqueName="[Measures].[Avg.Satisfaction Score]" caption="Avg.Satisfaction Score" measure="1" displayFolder="" measureGroup="Calculation" count="0"/>
    <cacheHierarchy uniqueName="[Measures].[product]" caption="product" measure="1" displayFolder="" measureGroup="Calculation" count="0"/>
    <cacheHierarchy uniqueName="[Measures].[Total Qty Sold]" caption="Total Qty Sold" measure="1" displayFolder="" measureGroup="Calculation" count="0"/>
    <cacheHierarchy uniqueName="[Measures].[Total Unit Sold]" caption="Total Unit Sold" measure="1" displayFolder="" measureGroup="Calculation" count="0"/>
    <cacheHierarchy uniqueName="[Measures].[Avg. Revenue per customer]" caption="Avg. Revenue per customer" measure="1" displayFolder="" measureGroup="mtn_customer_churn" count="0"/>
    <cacheHierarchy uniqueName="[Measures].[Avg. revenue per product]" caption="Avg. revenue per product" measure="1" displayFolder="" measureGroup="Calculation" count="0"/>
    <cacheHierarchy uniqueName="[Measures].[__XL_Count mtn_customer_churn]" caption="__XL_Count mtn_customer_churn" measure="1" displayFolder="" measureGroup="mtn_customer_churn" count="0" hidden="1"/>
    <cacheHierarchy uniqueName="[Measures].[__XL_Count Age-Group]" caption="__XL_Count Age-Group" measure="1" displayFolder="" measureGroup="Age-Group" count="0" hidden="1"/>
    <cacheHierarchy uniqueName="[Measures].[__XL_Count order date]" caption="__XL_Count order date" measure="1" displayFolder="" measureGroup="order date" count="0" hidden="1"/>
    <cacheHierarchy uniqueName="[Measures].[__XL_Count Calculation]" caption="__XL_Count Calculation" measure="1" displayFolder="" measureGroup="Calculation" count="0" hidden="1"/>
    <cacheHierarchy uniqueName="[Measures].[__No measures defined]" caption="__No measures defined" measure="1" displayFolder="" count="0" hidden="1"/>
    <cacheHierarchy uniqueName="[Measures].[Sum of Data Usage]" caption="Sum of Data Usage" measure="1" displayFolder="" measureGroup="mtn_customer_churn" count="0" hidden="1">
      <extLst>
        <ext xmlns:x15="http://schemas.microsoft.com/office/spreadsheetml/2010/11/main" uri="{B97F6D7D-B522-45F9-BDA1-12C45D357490}">
          <x15:cacheHierarchy aggregatedColumn="16"/>
        </ext>
      </extLst>
    </cacheHierarchy>
    <cacheHierarchy uniqueName="[Measures].[Sum of Quantity Sold]" caption="Sum of Quantity Sold" measure="1" displayFolder="" measureGroup="mtn_customer_churn" count="0" hidden="1">
      <extLst>
        <ext xmlns:x15="http://schemas.microsoft.com/office/spreadsheetml/2010/11/main" uri="{B97F6D7D-B522-45F9-BDA1-12C45D357490}">
          <x15:cacheHierarchy aggregatedColumn="14"/>
        </ext>
      </extLst>
    </cacheHierarchy>
    <cacheHierarchy uniqueName="[Measures].[Count of Customer Churn Status]" caption="Count of Customer Churn Status" measure="1" displayFolder="" measureGroup="mtn_customer_churn" count="0" hidden="1">
      <extLst>
        <ext xmlns:x15="http://schemas.microsoft.com/office/spreadsheetml/2010/11/main" uri="{B97F6D7D-B522-45F9-BDA1-12C45D357490}">
          <x15:cacheHierarchy aggregatedColumn="17"/>
        </ext>
      </extLst>
    </cacheHierarchy>
    <cacheHierarchy uniqueName="[Measures].[Sum of Days of the weeks]" caption="Sum of Days of the weeks" measure="1" displayFolder="" measureGroup="order date"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105658293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1399AD-7DC4-4906-B0FD-AB420527C998}" name="Gender" cacheId="725"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6" rowHeaderCaption="gender">
  <location ref="S20:T22" firstHeaderRow="1" firstDataRow="1" firstDataCol="1"/>
  <pivotFields count="6">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4"/>
  </rowFields>
  <rowItems count="2">
    <i>
      <x/>
    </i>
    <i>
      <x v="1"/>
    </i>
  </rowItems>
  <colItems count="1">
    <i/>
  </colItems>
  <dataFields count="1">
    <dataField fld="1" subtotal="count" baseField="0" baseItem="0" numFmtId="168"/>
  </dataFields>
  <formats count="2">
    <format dxfId="236">
      <pivotArea outline="0" collapsedLevelsAreSubtotals="1" fieldPosition="0"/>
    </format>
    <format dxfId="237">
      <pivotArea dataOnly="0" labelOnly="1" outline="0" axis="axisValues" fieldPosition="0"/>
    </format>
  </formats>
  <chartFormats count="3">
    <chartFormat chart="10" format="0" series="1">
      <pivotArea type="data" outline="0" fieldPosition="0">
        <references count="1">
          <reference field="4294967294" count="1" selected="0">
            <x v="0"/>
          </reference>
        </references>
      </pivotArea>
    </chartFormat>
    <chartFormat chart="12" format="1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Data Usage"/>
    <pivotHierarchy dragToData="1"/>
    <pivotHierarchy dragToData="1"/>
    <pivotHierarchy dragToData="1"/>
  </pivotHierarchies>
  <pivotTableStyleInfo name="PivotStyleLight16" showRowHeaders="1" showColHeaders="1" showRowStripes="0" showColStripes="0" showLastColumn="1"/>
  <filters count="3">
    <filter fld="0" type="count" id="1" iMeasureHier="46">
      <autoFilter ref="A1">
        <filterColumn colId="0">
          <top10 val="10" filterVal="10"/>
        </filterColumn>
      </autoFilter>
    </filter>
    <filter fld="2" type="count" id="2" iMeasureHier="30">
      <autoFilter ref="A1">
        <filterColumn colId="0">
          <top10 val="5" filterVal="5"/>
        </filterColumn>
      </autoFilter>
    </filter>
    <filter fld="3" type="count" id="3" iMeasureHier="30">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tn_customer_churn]"/>
        <x15:activeTabTopLevelEntity name="[Age-Group]"/>
        <x15:activeTabTopLevelEntity name="[Calcul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CCDA7A-F3AE-4D94-B520-84C1250116FC}" name="full name" cacheId="722"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6" rowHeaderCaption="Full Name">
  <location ref="S12:T17" firstHeaderRow="1" firstDataRow="1" firstDataCol="1"/>
  <pivotFields count="5">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5">
    <i>
      <x v="2"/>
    </i>
    <i>
      <x/>
    </i>
    <i>
      <x v="3"/>
    </i>
    <i>
      <x v="4"/>
    </i>
    <i>
      <x v="1"/>
    </i>
  </rowItems>
  <colItems count="1">
    <i/>
  </colItems>
  <dataFields count="1">
    <dataField fld="1" subtotal="count" baseField="0" baseItem="0" numFmtId="168"/>
  </dataFields>
  <formats count="2">
    <format dxfId="238">
      <pivotArea outline="0" collapsedLevelsAreSubtotals="1" fieldPosition="0"/>
    </format>
    <format dxfId="239">
      <pivotArea dataOnly="0" labelOnly="1" outline="0" axis="axisValues" fieldPosition="0"/>
    </format>
  </formats>
  <chartFormats count="13">
    <chartFormat chart="10" format="0" series="1">
      <pivotArea type="data" outline="0" fieldPosition="0">
        <references count="1">
          <reference field="4294967294" count="1" selected="0">
            <x v="0"/>
          </reference>
        </references>
      </pivotArea>
    </chartFormat>
    <chartFormat chart="12" format="1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3" count="1" selected="0">
            <x v="2"/>
          </reference>
        </references>
      </pivotArea>
    </chartFormat>
    <chartFormat chart="15" format="4">
      <pivotArea type="data" outline="0" fieldPosition="0">
        <references count="2">
          <reference field="4294967294" count="1" selected="0">
            <x v="0"/>
          </reference>
          <reference field="3" count="1" selected="0">
            <x v="0"/>
          </reference>
        </references>
      </pivotArea>
    </chartFormat>
    <chartFormat chart="15" format="5">
      <pivotArea type="data" outline="0" fieldPosition="0">
        <references count="2">
          <reference field="4294967294" count="1" selected="0">
            <x v="0"/>
          </reference>
          <reference field="3" count="1" selected="0">
            <x v="3"/>
          </reference>
        </references>
      </pivotArea>
    </chartFormat>
    <chartFormat chart="15" format="6">
      <pivotArea type="data" outline="0" fieldPosition="0">
        <references count="2">
          <reference field="4294967294" count="1" selected="0">
            <x v="0"/>
          </reference>
          <reference field="3" count="1" selected="0">
            <x v="4"/>
          </reference>
        </references>
      </pivotArea>
    </chartFormat>
    <chartFormat chart="15" format="7">
      <pivotArea type="data" outline="0" fieldPosition="0">
        <references count="2">
          <reference field="4294967294" count="1" selected="0">
            <x v="0"/>
          </reference>
          <reference field="3" count="1" selected="0">
            <x v="1"/>
          </reference>
        </references>
      </pivotArea>
    </chartFormat>
    <chartFormat chart="15" format="8">
      <pivotArea type="data" outline="0" fieldPosition="0">
        <references count="2">
          <reference field="4294967294" count="1" selected="0">
            <x v="0"/>
          </reference>
          <reference field="3" count="1" selected="0">
            <x v="6"/>
          </reference>
        </references>
      </pivotArea>
    </chartFormat>
    <chartFormat chart="15" format="9">
      <pivotArea type="data" outline="0" fieldPosition="0">
        <references count="2">
          <reference field="4294967294" count="1" selected="0">
            <x v="0"/>
          </reference>
          <reference field="3" count="1" selected="0">
            <x v="9"/>
          </reference>
        </references>
      </pivotArea>
    </chartFormat>
    <chartFormat chart="15" format="10">
      <pivotArea type="data" outline="0" fieldPosition="0">
        <references count="2">
          <reference field="4294967294" count="1" selected="0">
            <x v="0"/>
          </reference>
          <reference field="3" count="1" selected="0">
            <x v="7"/>
          </reference>
        </references>
      </pivotArea>
    </chartFormat>
    <chartFormat chart="15" format="11">
      <pivotArea type="data" outline="0" fieldPosition="0">
        <references count="2">
          <reference field="4294967294" count="1" selected="0">
            <x v="0"/>
          </reference>
          <reference field="3" count="1" selected="0">
            <x v="5"/>
          </reference>
        </references>
      </pivotArea>
    </chartFormat>
    <chartFormat chart="15" format="12">
      <pivotArea type="data" outline="0" fieldPosition="0">
        <references count="2">
          <reference field="4294967294" count="1" selected="0">
            <x v="0"/>
          </reference>
          <reference field="3" count="1" selected="0">
            <x v="8"/>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Data Usage"/>
    <pivotHierarchy dragToData="1"/>
    <pivotHierarchy dragToData="1"/>
    <pivotHierarchy dragToData="1"/>
  </pivotHierarchies>
  <pivotTableStyleInfo name="PivotStyleLight16" showRowHeaders="1" showColHeaders="1" showRowStripes="0" showColStripes="0" showLastColumn="1"/>
  <filters count="3">
    <filter fld="0" type="count" id="1" iMeasureHier="46">
      <autoFilter ref="A1">
        <filterColumn colId="0">
          <top10 val="10" filterVal="10"/>
        </filterColumn>
      </autoFilter>
    </filter>
    <filter fld="2" type="count" id="2" iMeasureHier="30">
      <autoFilter ref="A1">
        <filterColumn colId="0">
          <top10 val="5" filterVal="5"/>
        </filterColumn>
      </autoFilter>
    </filter>
    <filter fld="3" type="count" id="3" iMeasureHier="30">
      <autoFilter ref="A1">
        <filterColumn colId="0">
          <top1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mtn_customer_churn]"/>
        <x15:activeTabTopLevelEntity name="[Age-Group]"/>
        <x15:activeTabTopLevelEntity name="[Calcul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E68DFC-A66F-43E8-B29A-49C1628A2CA6}" name="State" cacheId="731"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3" rowHeaderCaption="State">
  <location ref="S4:T9"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5">
    <i>
      <x v="3"/>
    </i>
    <i>
      <x v="1"/>
    </i>
    <i>
      <x v="4"/>
    </i>
    <i>
      <x v="2"/>
    </i>
    <i>
      <x/>
    </i>
  </rowItems>
  <colItems count="1">
    <i/>
  </colItems>
  <dataFields count="1">
    <dataField fld="1" subtotal="count" baseField="0" baseItem="0" numFmtId="168"/>
  </dataFields>
  <formats count="2">
    <format dxfId="240">
      <pivotArea outline="0" collapsedLevelsAreSubtotals="1" fieldPosition="0"/>
    </format>
    <format dxfId="241">
      <pivotArea dataOnly="0" labelOnly="1" outline="0" axis="axisValues" fieldPosition="0"/>
    </format>
  </formats>
  <chartFormats count="9">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2" count="1" selected="0">
            <x v="3"/>
          </reference>
        </references>
      </pivotArea>
    </chartFormat>
    <chartFormat chart="12" format="14">
      <pivotArea type="data" outline="0" fieldPosition="0">
        <references count="2">
          <reference field="4294967294" count="1" selected="0">
            <x v="0"/>
          </reference>
          <reference field="2" count="1" selected="0">
            <x v="1"/>
          </reference>
        </references>
      </pivotArea>
    </chartFormat>
    <chartFormat chart="12" format="15">
      <pivotArea type="data" outline="0" fieldPosition="0">
        <references count="2">
          <reference field="4294967294" count="1" selected="0">
            <x v="0"/>
          </reference>
          <reference field="2" count="1" selected="0">
            <x v="4"/>
          </reference>
        </references>
      </pivotArea>
    </chartFormat>
    <chartFormat chart="12" format="16">
      <pivotArea type="data" outline="0" fieldPosition="0">
        <references count="2">
          <reference field="4294967294" count="1" selected="0">
            <x v="0"/>
          </reference>
          <reference field="2" count="1" selected="0">
            <x v="2"/>
          </reference>
        </references>
      </pivotArea>
    </chartFormat>
    <chartFormat chart="12" format="17">
      <pivotArea type="data" outline="0" fieldPosition="0">
        <references count="2">
          <reference field="4294967294" count="1" selected="0">
            <x v="0"/>
          </reference>
          <reference field="2" count="1" selected="0">
            <x v="0"/>
          </reference>
        </references>
      </pivotArea>
    </chartFormat>
    <chartFormat chart="12" format="18">
      <pivotArea type="data" outline="0" fieldPosition="0">
        <references count="2">
          <reference field="4294967294" count="1" selected="0">
            <x v="0"/>
          </reference>
          <reference field="2" count="1" selected="0">
            <x v="6"/>
          </reference>
        </references>
      </pivotArea>
    </chartFormat>
    <chartFormat chart="12" format="19">
      <pivotArea type="data" outline="0" fieldPosition="0">
        <references count="2">
          <reference field="4294967294" count="1" selected="0">
            <x v="0"/>
          </reference>
          <reference field="2" count="1" selected="0">
            <x v="5"/>
          </reference>
        </references>
      </pivotArea>
    </chartFormat>
    <chartFormat chart="12" format="20">
      <pivotArea type="data" outline="0" fieldPosition="0">
        <references count="2">
          <reference field="4294967294" count="1" selected="0">
            <x v="0"/>
          </reference>
          <reference field="2" count="1" selected="0">
            <x v="7"/>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Data Usage"/>
    <pivotHierarchy dragToData="1"/>
    <pivotHierarchy dragToData="1"/>
    <pivotHierarchy dragToData="1"/>
  </pivotHierarchies>
  <pivotTableStyleInfo name="PivotStyleLight16" showRowHeaders="1" showColHeaders="1" showRowStripes="0" showColStripes="0" showLastColumn="1"/>
  <filters count="2">
    <filter fld="0" type="count" id="1" iMeasureHier="46">
      <autoFilter ref="A1">
        <filterColumn colId="0">
          <top10 val="10" filterVal="10"/>
        </filterColumn>
      </autoFilter>
    </filter>
    <filter fld="2" type="count" id="2" iMeasureHier="30">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tn_customer_churn]"/>
        <x15:activeTabTopLevelEntity name="[Age-Group]"/>
        <x15:activeTabTopLevelEntity name="[Calcul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814808-6C67-415B-84D0-D0904BFCCFC1}" name="age group" cacheId="716"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0" rowHeaderCaption="Age_Group">
  <location ref="N10:O17"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1"/>
  </rowFields>
  <rowItems count="7">
    <i>
      <x/>
    </i>
    <i>
      <x v="1"/>
    </i>
    <i>
      <x v="2"/>
    </i>
    <i>
      <x v="3"/>
    </i>
    <i>
      <x v="4"/>
    </i>
    <i>
      <x v="5"/>
    </i>
    <i>
      <x v="6"/>
    </i>
  </rowItems>
  <colItems count="1">
    <i/>
  </colItems>
  <dataFields count="1">
    <dataField fld="2" subtotal="count" baseField="0" baseItem="0" numFmtId="168"/>
  </dataFields>
  <formats count="2">
    <format dxfId="242">
      <pivotArea outline="0" collapsedLevelsAreSubtotals="1" fieldPosition="0"/>
    </format>
    <format dxfId="243">
      <pivotArea dataOnly="0" labelOnly="1" outline="0" axis="axisValues" fieldPosition="0"/>
    </format>
  </formats>
  <pivotHierarchies count="5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Data Usage"/>
    <pivotHierarchy dragToData="1"/>
    <pivotHierarchy dragToData="1"/>
    <pivotHierarchy dragToData="1"/>
  </pivotHierarchies>
  <pivotTableStyleInfo name="PivotStyleLight16" showRowHeaders="1" showColHeaders="1" showRowStripes="0" showColStripes="0" showLastColumn="1"/>
  <filters count="1">
    <filter fld="0" type="count" id="1" iMeasureHier="46">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mtn_customer_churn]"/>
        <x15:activeTabTopLevelEntity name="[Age-Group]"/>
        <x15:activeTabTopLevelEntity name="[Calcul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8C21B3-F8A9-4F94-AF0A-765B3E1820F1}" name="product" cacheId="71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N1:O5"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fld="1" subtotal="count" baseField="0" baseItem="0"/>
  </dataField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 chart="2" format="5">
      <pivotArea type="data" outline="0" fieldPosition="0">
        <references count="2">
          <reference field="4294967294" count="1" selected="0">
            <x v="0"/>
          </reference>
          <reference field="0" count="1" selected="0">
            <x v="2"/>
          </reference>
        </references>
      </pivotArea>
    </chartFormat>
    <chartFormat chart="2" format="6">
      <pivotArea type="data" outline="0" fieldPosition="0">
        <references count="2">
          <reference field="4294967294" count="1" selected="0">
            <x v="0"/>
          </reference>
          <reference field="0" count="1" selected="0">
            <x v="3"/>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tn_customer_churn]"/>
        <x15:activeTabTopLevelEntity name="[Calculation]"/>
        <x15:activeTabTopLevelEntity name="[or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7E0FFC-1341-43DA-BD99-7542DD2A79C4}" name="weeks" cacheId="74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E5:F7"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fld="1" subtotal="count" baseField="0" baseItem="0"/>
  </dataFields>
  <formats count="2">
    <format dxfId="245">
      <pivotArea collapsedLevelsAreSubtotals="1" fieldPosition="0">
        <references count="1">
          <reference field="0" count="1">
            <x v="0"/>
          </reference>
        </references>
      </pivotArea>
    </format>
    <format dxfId="244">
      <pivotArea collapsedLevelsAreSubtotals="1" fieldPosition="0">
        <references count="1">
          <reference field="0" count="1">
            <x v="1"/>
          </reference>
        </references>
      </pivotArea>
    </format>
  </formats>
  <pivotHierarchies count="5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ate]"/>
        <x15:activeTabTopLevelEntity name="[Calcul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639D75-4291-4E5C-AE1F-BA571547C3F8}" name="curb" cacheId="71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rowHeaderCaption="churn Rate">
  <location ref="A4:B6"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2">
    <i>
      <x/>
    </i>
    <i>
      <x v="1"/>
    </i>
  </rowItems>
  <colItems count="1">
    <i/>
  </colItems>
  <dataFields count="1">
    <dataField name="Count of Customer Churn Status" fld="2" subtotal="count" baseField="1" baseItem="0" numFmtId="1"/>
  </dataFields>
  <formats count="2">
    <format dxfId="247">
      <pivotArea outline="0" collapsedLevelsAreSubtotals="1" fieldPosition="0"/>
    </format>
    <format dxfId="246">
      <pivotArea dataOnly="0" labelOnly="1" outline="0" axis="axisValues" fieldPosition="0"/>
    </format>
  </formats>
  <pivotHierarchies count="5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Data Usage"/>
    <pivotHierarchy dragToData="1"/>
    <pivotHierarchy dragToData="1"/>
    <pivotHierarchy dragToData="1"/>
  </pivotHierarchies>
  <pivotTableStyleInfo name="PivotStyleLight16" showRowHeaders="1" showColHeaders="1" showRowStripes="0" showColStripes="0" showLastColumn="1"/>
  <filters count="1">
    <filter fld="0" type="count" id="2" iMeasureHier="46">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tn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41004BA-31F6-4711-A412-A38D76DF717A}" name=" total customer" cacheId="752" applyNumberFormats="0" applyBorderFormats="0" applyFontFormats="0" applyPatternFormats="0" applyAlignmentFormats="0" applyWidthHeightFormats="1" dataCaption="Values" tag="c7a929f3-a05d-4429-9004-90d25248f7a2" updatedVersion="8" minRefreshableVersion="3" useAutoFormatting="1" subtotalHiddenItems="1" itemPrintTitles="1" createdVersion="8" indent="0" outline="1" outlineData="1" multipleFieldFilters="0">
  <location ref="B1:B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B9369CE-0DC5-4F7C-BEAB-62B5BDF61F7B}" name=" chruned customer" cacheId="749" applyNumberFormats="0" applyBorderFormats="0" applyFontFormats="0" applyPatternFormats="0" applyAlignmentFormats="0" applyWidthHeightFormats="1" dataCaption="Values" tag="09228c35-0d9e-4a79-9df2-751d2fbf8db7" updatedVersion="8" minRefreshableVersion="3" useAutoFormatting="1" subtotalHiddenItems="1" itemPrintTitles="1" createdVersion="8"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ABDB089-2165-46D3-B6A0-1AC45E67DD74}" name="sub date useage" cacheId="734"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0" rowHeaderCaption="Subcription Plan">
  <location ref="C23:D33"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8"/>
    </i>
    <i>
      <x v="6"/>
    </i>
    <i>
      <x v="4"/>
    </i>
    <i>
      <x v="7"/>
    </i>
    <i>
      <x v="2"/>
    </i>
    <i>
      <x/>
    </i>
    <i>
      <x v="3"/>
    </i>
    <i>
      <x v="9"/>
    </i>
    <i>
      <x v="5"/>
    </i>
    <i>
      <x v="1"/>
    </i>
  </rowItems>
  <colItems count="1">
    <i/>
  </colItems>
  <dataFields count="1">
    <dataField name="Total Data Usage" fld="1" baseField="0" baseItem="0" numFmtId="1"/>
  </dataFields>
  <formats count="1">
    <format dxfId="248">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Data Usage"/>
    <pivotHierarchy dragToData="1"/>
    <pivotHierarchy dragToData="1"/>
    <pivotHierarchy dragToData="1"/>
  </pivotHierarchies>
  <pivotTableStyleInfo name="PivotStyleLight16" showRowHeaders="1" showColHeaders="1" showRowStripes="0" showColStripes="0" showLastColumn="1"/>
  <filters count="1">
    <filter fld="0" type="count" id="1" iMeasureHier="46">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tn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47D0075-CEB3-4905-BBCA-DCBE56A8653D}" name="total revenue" cacheId="743" applyNumberFormats="0" applyBorderFormats="0" applyFontFormats="0" applyPatternFormats="0" applyAlignmentFormats="0" applyWidthHeightFormats="1" dataCaption="Values" tag="8a5ba0a8-fbb5-4b2f-8026-a12b77ac5f0c" updatedVersion="8" minRefreshableVersion="3" useAutoFormatting="1" subtotalHiddenItems="1" itemPrintTitles="1" createdVersion="8" indent="0" outline="1" outlineData="1" multipleFieldFilters="0" chartFormat="3">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fld="0" subtotal="count" baseField="0" baseItem="0"/>
  </dataFields>
  <chartFormats count="1">
    <chartFormat chart="2" format="0"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BDF806A-C52B-4C2C-98FC-8FDBABE54A71}" name="KPI" cacheId="728" applyNumberFormats="0" applyBorderFormats="0" applyFontFormats="0" applyPatternFormats="0" applyAlignmentFormats="0" applyWidthHeightFormats="1" dataCaption="Values" tag="5a3bbd63-f837-4a67-9198-d2871816f95b" updatedVersion="8" minRefreshableVersion="3" useAutoFormatting="1" subtotalHiddenItems="1" itemPrintTitles="1" createdVersion="8" indent="0" outline="1" outlineData="1" multipleFieldFilters="0" chartFormat="7">
  <location ref="D1:K2"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8">
    <i>
      <x/>
    </i>
    <i i="1">
      <x v="1"/>
    </i>
    <i i="2">
      <x v="2"/>
    </i>
    <i i="3">
      <x v="3"/>
    </i>
    <i i="4">
      <x v="4"/>
    </i>
    <i i="5">
      <x v="5"/>
    </i>
    <i i="6">
      <x v="6"/>
    </i>
    <i i="7">
      <x v="7"/>
    </i>
  </colItems>
  <dataFields count="8">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
        <x15:activeTabTopLevelEntity name="[mtn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E413A0D-FDB0-45C3-9791-CD654335AFFC}" name="sub plan2" cacheId="737"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rowHeaderCaption="Subcription Plan">
  <location ref="F22:G32" firstHeaderRow="1" firstDataRow="1" firstDataCol="1"/>
  <pivotFields count="4">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0">
    <i>
      <x v="1"/>
    </i>
    <i>
      <x v="2"/>
    </i>
    <i>
      <x v="3"/>
    </i>
    <i>
      <x v="6"/>
    </i>
    <i>
      <x v="9"/>
    </i>
    <i>
      <x v="7"/>
    </i>
    <i>
      <x v="5"/>
    </i>
    <i>
      <x/>
    </i>
    <i>
      <x v="4"/>
    </i>
    <i>
      <x v="8"/>
    </i>
  </rowItems>
  <colItems count="1">
    <i/>
  </colItems>
  <dataFields count="1">
    <dataField fld="1" subtotal="count" baseField="0" baseItem="0"/>
  </dataFields>
  <pivotHierarchies count="5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3" iMeasureHier="30">
      <autoFilter ref="A1">
        <filterColumn colId="0">
          <top10 top="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mtn_customer_churn]"/>
        <x15:activeTabTopLevelEntity name="[Calcul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9230113-7D9E-420F-9A63-CAC697869F81}" name="subcription plan" cacheId="740"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rowHeaderCaption="Subcription Plan">
  <location ref="J7:K17" firstHeaderRow="1" firstDataRow="1" firstDataCol="1"/>
  <pivotFields count="4">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0">
    <i>
      <x/>
    </i>
    <i>
      <x v="3"/>
    </i>
    <i>
      <x v="5"/>
    </i>
    <i>
      <x v="2"/>
    </i>
    <i>
      <x v="7"/>
    </i>
    <i>
      <x v="1"/>
    </i>
    <i>
      <x v="8"/>
    </i>
    <i>
      <x v="9"/>
    </i>
    <i>
      <x v="4"/>
    </i>
    <i>
      <x v="6"/>
    </i>
  </rowItems>
  <colItems count="1">
    <i/>
  </colItems>
  <dataFields count="1">
    <dataField fld="1" subtotal="count" baseField="0" baseItem="0"/>
  </dataFields>
  <pivotHierarchies count="5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30">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tn_customer_churn]"/>
        <x15:activeTabTopLevelEntity name="[Calculatio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753C6C0C-39EE-4AFA-9D88-9518620EB83C}" sourceName="[mtn_customer_churn].[Product_Name]">
  <pivotTables>
    <pivotTable tabId="1" name="age group"/>
    <pivotTable tabId="1" name="curb"/>
    <pivotTable tabId="1" name="full name"/>
    <pivotTable tabId="1" name="Gender"/>
    <pivotTable tabId="1" name="State"/>
    <pivotTable tabId="1" name="sub date useage"/>
    <pivotTable tabId="1" name="subcription plan"/>
    <pivotTable tabId="1" name="total revenue"/>
    <pivotTable tabId="1" name="weeks"/>
    <pivotTable tabId="1" name="product"/>
    <pivotTable tabId="1" name="sub plan2"/>
  </pivotTables>
  <data>
    <olap pivotCacheId="1056582935">
      <levels count="2">
        <level uniqueName="[mtn_customer_churn].[Product_Name].[(All)]" sourceCaption="(All)" count="0"/>
        <level uniqueName="[mtn_customer_churn].[Product_Name].[Product_Name]" sourceCaption="Product_Name" count="4">
          <ranges>
            <range startItem="0">
              <i n="[mtn_customer_churn].[Product_Name].&amp;[4G Router]" c="4G Router"/>
              <i n="[mtn_customer_churn].[Product_Name].&amp;[5G Broadband Router]" c="5G Broadband Router"/>
              <i n="[mtn_customer_churn].[Product_Name].&amp;[Broadband MiFi]" c="Broadband MiFi"/>
              <i n="[mtn_customer_churn].[Product_Name].&amp;[Mobile SIM Card]" c="Mobile SIM Card"/>
            </range>
          </ranges>
        </level>
      </levels>
      <selections count="1">
        <selection n="[mtn_customer_churn].[Product_Name].[All]"/>
      </selections>
    </olap>
  </data>
  <extLst>
    <x:ext xmlns:x15="http://schemas.microsoft.com/office/spreadsheetml/2010/11/main" uri="{470722E0-AACD-4C17-9CDC-17EF765DBC7E}">
      <x15:slicerCacheHideItemsWithNoData count="1">
        <x15:slicerCacheOlapLevelName uniqueName="[mtn_customer_churn].[Product_Name].[Product_Name]"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FBC7E3E0-58BF-43E6-9CCC-CF29E21C4D09}" sourceName="[order date].[Months]">
  <pivotTables>
    <pivotTable tabId="1" name="product"/>
    <pivotTable tabId="1" name="age group"/>
    <pivotTable tabId="1" name="curb"/>
    <pivotTable tabId="1" name="full name"/>
    <pivotTable tabId="1" name="Gender"/>
    <pivotTable tabId="1" name="KPI"/>
    <pivotTable tabId="1" name="State"/>
    <pivotTable tabId="1" name="sub date useage"/>
    <pivotTable tabId="1" name="sub plan2"/>
    <pivotTable tabId="1" name="subcription plan"/>
    <pivotTable tabId="1" name="total revenue"/>
    <pivotTable tabId="1" name="weeks"/>
    <pivotTable tabId="1" name=" chruned customer"/>
    <pivotTable tabId="1" name=" total customer"/>
  </pivotTables>
  <data>
    <olap pivotCacheId="1056582935">
      <levels count="2">
        <level uniqueName="[order date].[Months].[(All)]" sourceCaption="(All)" count="0"/>
        <level uniqueName="[order date].[Months].[Months]" sourceCaption="Months" count="3">
          <ranges>
            <range startItem="0">
              <i n="[order date].[Months].&amp;[Jan]" c="Jan"/>
              <i n="[order date].[Months].&amp;[Feb]" c="Feb"/>
              <i n="[order date].[Months].&amp;[Mar]" c="Mar"/>
            </range>
          </ranges>
        </level>
      </levels>
      <selections count="1">
        <selection n="[order date].[Months].[All]"/>
      </selections>
    </olap>
  </data>
  <extLst>
    <x:ext xmlns:x15="http://schemas.microsoft.com/office/spreadsheetml/2010/11/main" uri="{470722E0-AACD-4C17-9CDC-17EF765DBC7E}">
      <x15:slicerCacheHideItemsWithNoData count="1">
        <x15:slicerCacheOlapLevelName uniqueName="[order date].[Months].[Months]"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A0EE94C7-D6B3-42FB-B5DC-20C87B6398BA}" sourceName="[order date].[years]">
  <pivotTables>
    <pivotTable tabId="1" name="product"/>
    <pivotTable tabId="1" name=" chruned customer"/>
    <pivotTable tabId="1" name=" total customer"/>
    <pivotTable tabId="1" name="age group"/>
    <pivotTable tabId="1" name="curb"/>
    <pivotTable tabId="1" name="full name"/>
    <pivotTable tabId="1" name="Gender"/>
    <pivotTable tabId="1" name="KPI"/>
    <pivotTable tabId="1" name="State"/>
    <pivotTable tabId="1" name="sub date useage"/>
    <pivotTable tabId="1" name="sub plan2"/>
    <pivotTable tabId="1" name="subcription plan"/>
    <pivotTable tabId="1" name="weeks"/>
  </pivotTables>
  <data>
    <olap pivotCacheId="1056582935">
      <levels count="2">
        <level uniqueName="[order date].[years].[(All)]" sourceCaption="(All)" count="0"/>
        <level uniqueName="[order date].[years].[years]" sourceCaption="years" count="1">
          <ranges>
            <range startItem="0">
              <i n="[order date].[years].&amp;[2025]" c="2025"/>
            </range>
          </ranges>
        </level>
      </levels>
      <selections count="1">
        <selection n="[order date].[years].[All]"/>
      </selections>
    </olap>
  </data>
  <extLst>
    <x:ext xmlns:x15="http://schemas.microsoft.com/office/spreadsheetml/2010/11/main" uri="{470722E0-AACD-4C17-9CDC-17EF765DBC7E}">
      <x15:slicerCacheHideItemsWithNoData count="1">
        <x15:slicerCacheOlapLevelName uniqueName="[order date].[years].[years]"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0FCC02D3-0449-46D2-82D4-C0446821EB85}" cache="Slicer_Product_Name" caption="Product_Name" columnCount="4" showCaption="0" level="1" style="SlicerStyleLight4 2 2" rowHeight="241300"/>
  <slicer name="Months" xr10:uid="{5168414F-1FB1-44D9-B083-7C0E1D8269D2}" cache="Slicer_Months" caption="Months" columnCount="3" showCaption="0" level="1" style="SlicerStyleLight4 2 2" rowHeight="241300"/>
  <slicer name="years" xr10:uid="{06D35F7A-2F31-44FF-AF83-325E1BCA1195}" cache="Slicer_years" caption="years" showCaption="0" level="1" style="SlicerStyleLight4 2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07/relationships/slicer" Target="../slicers/slicer1.xml"/><Relationship Id="rId4"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C7C46-AEAB-4DDC-AB8F-09FD552DFC8F}">
  <sheetPr codeName="Sheet2"/>
  <dimension ref="A1:V33"/>
  <sheetViews>
    <sheetView tabSelected="1" topLeftCell="I16" zoomScale="62" zoomScaleNormal="62" workbookViewId="0">
      <selection activeCell="N1" sqref="N1"/>
    </sheetView>
  </sheetViews>
  <sheetFormatPr defaultRowHeight="15" x14ac:dyDescent="0.25"/>
  <cols>
    <col min="1" max="1" width="19.28515625" bestFit="1" customWidth="1"/>
    <col min="2" max="2" width="22.28515625" bestFit="1" customWidth="1"/>
    <col min="3" max="3" width="23.85546875" bestFit="1" customWidth="1"/>
    <col min="4" max="4" width="22.7109375" bestFit="1" customWidth="1"/>
    <col min="5" max="5" width="19" bestFit="1" customWidth="1"/>
    <col min="6" max="7" width="19.42578125" bestFit="1" customWidth="1"/>
    <col min="8" max="8" width="19" bestFit="1" customWidth="1"/>
    <col min="9" max="9" width="19.7109375" bestFit="1" customWidth="1"/>
    <col min="10" max="10" width="33.7109375" bestFit="1" customWidth="1"/>
    <col min="11" max="11" width="19.42578125" bestFit="1" customWidth="1"/>
    <col min="12" max="12" width="10.140625" bestFit="1" customWidth="1"/>
    <col min="13" max="13" width="15.140625" bestFit="1" customWidth="1"/>
    <col min="14" max="14" width="18.85546875" bestFit="1" customWidth="1"/>
    <col min="15" max="15" width="19.42578125" bestFit="1" customWidth="1"/>
    <col min="16" max="16" width="14.85546875" bestFit="1" customWidth="1"/>
    <col min="17" max="17" width="12" customWidth="1"/>
    <col min="18" max="18" width="4.42578125" customWidth="1"/>
    <col min="19" max="19" width="11.85546875" bestFit="1" customWidth="1"/>
    <col min="20" max="20" width="19.42578125" bestFit="1" customWidth="1"/>
    <col min="21" max="21" width="21.85546875" bestFit="1" customWidth="1"/>
    <col min="22" max="22" width="15.140625" bestFit="1" customWidth="1"/>
  </cols>
  <sheetData>
    <row r="1" spans="1:22" x14ac:dyDescent="0.25">
      <c r="A1" t="s">
        <v>0</v>
      </c>
      <c r="B1" t="s">
        <v>1</v>
      </c>
      <c r="C1" t="s">
        <v>2</v>
      </c>
      <c r="D1" t="s">
        <v>3</v>
      </c>
      <c r="E1" t="s">
        <v>4</v>
      </c>
      <c r="F1" t="s">
        <v>5</v>
      </c>
      <c r="G1" t="s">
        <v>6</v>
      </c>
      <c r="H1" t="s">
        <v>7</v>
      </c>
      <c r="I1" t="s">
        <v>8</v>
      </c>
      <c r="J1" t="s">
        <v>14</v>
      </c>
      <c r="K1" t="s">
        <v>15</v>
      </c>
      <c r="M1" t="s">
        <v>46</v>
      </c>
      <c r="N1" s="2" t="s">
        <v>9</v>
      </c>
      <c r="O1" t="s">
        <v>16</v>
      </c>
      <c r="P1" t="s">
        <v>59</v>
      </c>
    </row>
    <row r="2" spans="1:22" x14ac:dyDescent="0.25">
      <c r="A2" s="1">
        <v>199348200</v>
      </c>
      <c r="B2" s="15">
        <v>497</v>
      </c>
      <c r="C2" s="3">
        <v>139</v>
      </c>
      <c r="D2" s="4">
        <v>0.27967806841046278</v>
      </c>
      <c r="E2" s="5">
        <v>31.422997946611911</v>
      </c>
      <c r="F2" s="5">
        <v>2.9476386036960984</v>
      </c>
      <c r="G2" s="3">
        <v>4</v>
      </c>
      <c r="H2" s="3">
        <v>10290</v>
      </c>
      <c r="I2" s="6">
        <v>18697550</v>
      </c>
      <c r="J2" s="9">
        <v>401103.01810865192</v>
      </c>
      <c r="K2" s="9">
        <v>49837050</v>
      </c>
      <c r="M2" s="14">
        <v>1</v>
      </c>
      <c r="N2" s="8" t="s">
        <v>10</v>
      </c>
      <c r="O2" s="1">
        <v>37028000</v>
      </c>
      <c r="P2" t="str">
        <f>IF(O2&gt;=1000000000,TEXT(O2/1000000000,"$0")&amp;"B",IF(O2&gt;=1000000,TEXT(O2/1000000,"$0")&amp;"M",IF(O2&gt;=100000, TEXT(O2/100000,"$0")&amp;"K", O2)))</f>
        <v>$37M</v>
      </c>
    </row>
    <row r="3" spans="1:22" x14ac:dyDescent="0.25">
      <c r="A3" s="5">
        <f>AVERAGE(GETPIVOTDATA("[Measures].[Total Revenew]",$A$1))</f>
        <v>199348200</v>
      </c>
      <c r="N3" s="8" t="s">
        <v>11</v>
      </c>
      <c r="O3" s="1">
        <v>100818000</v>
      </c>
      <c r="P3" t="str">
        <f t="shared" ref="P3:P5" si="0">IF(O3&gt;=1000000000,TEXT(O3/1000000000,"$0")&amp;"B",IF(O3&gt;=1000000,TEXT(O3/1000000,"$0")&amp;"M",IF(O3&gt;=100000, TEXT(O3/100000,"$0")&amp;"K", O3)))</f>
        <v>$101M</v>
      </c>
    </row>
    <row r="4" spans="1:22" x14ac:dyDescent="0.25">
      <c r="A4" s="2" t="s">
        <v>31</v>
      </c>
      <c r="B4" s="3" t="s">
        <v>30</v>
      </c>
      <c r="J4" t="s">
        <v>47</v>
      </c>
      <c r="N4" s="8" t="s">
        <v>12</v>
      </c>
      <c r="O4" s="1">
        <v>48067500</v>
      </c>
      <c r="P4" t="str">
        <f t="shared" si="0"/>
        <v>$48M</v>
      </c>
      <c r="S4" s="2" t="s">
        <v>78</v>
      </c>
      <c r="T4" s="13" t="s">
        <v>16</v>
      </c>
    </row>
    <row r="5" spans="1:22" x14ac:dyDescent="0.25">
      <c r="A5" s="8" t="s">
        <v>29</v>
      </c>
      <c r="B5" s="3">
        <v>284</v>
      </c>
      <c r="E5" s="2" t="s">
        <v>9</v>
      </c>
      <c r="F5" t="s">
        <v>16</v>
      </c>
      <c r="J5" t="str">
        <f>IF(M2=1,"Top 10  Subcription plan By Revenue"," 10 Underperforming Subcription Plan By Revenue")</f>
        <v>Top 10  Subcription plan By Revenue</v>
      </c>
      <c r="N5" s="8" t="s">
        <v>13</v>
      </c>
      <c r="O5" s="1">
        <v>13434700</v>
      </c>
      <c r="P5" t="str">
        <f t="shared" si="0"/>
        <v>$13M</v>
      </c>
      <c r="S5" s="8" t="s">
        <v>72</v>
      </c>
      <c r="T5" s="13">
        <v>9463600</v>
      </c>
      <c r="U5" t="str">
        <f>IF(T5&gt;=1000000000,TEXT(T5/1000000000,"$0")&amp;"B",IF(T5&gt;=1000000,TEXT(T5/1000000,"$0")&amp;"M",IF(T5&gt;=100000,TEXT(T5/10000,"$0")&amp;"K",T5)))</f>
        <v>$9M</v>
      </c>
    </row>
    <row r="6" spans="1:22" x14ac:dyDescent="0.25">
      <c r="A6" s="8" t="s">
        <v>28</v>
      </c>
      <c r="B6" s="3">
        <v>690</v>
      </c>
      <c r="E6" s="8" t="s">
        <v>39</v>
      </c>
      <c r="F6" s="9">
        <v>63366500</v>
      </c>
      <c r="S6" s="8" t="s">
        <v>71</v>
      </c>
      <c r="T6" s="13">
        <v>9240250</v>
      </c>
      <c r="U6" t="str">
        <f t="shared" ref="U6:U11" si="1">IF(T6&gt;=1000000000,TEXT(T6/1000000000,"$0")&amp;"B",IF(T6&gt;=1000000,TEXT(T6/1000000,"$0")&amp;"M",IF(T6&gt;=100000,TEXT(T6/10000,"$0")&amp;"K",T6)))</f>
        <v>$9M</v>
      </c>
    </row>
    <row r="7" spans="1:22" x14ac:dyDescent="0.25">
      <c r="E7" s="8" t="s">
        <v>40</v>
      </c>
      <c r="F7" s="9">
        <v>135981700</v>
      </c>
      <c r="J7" s="2" t="s">
        <v>36</v>
      </c>
      <c r="K7" t="s">
        <v>16</v>
      </c>
      <c r="S7" s="8" t="s">
        <v>38</v>
      </c>
      <c r="T7" s="13">
        <v>8881700</v>
      </c>
      <c r="U7" t="str">
        <f t="shared" si="1"/>
        <v>$9M</v>
      </c>
    </row>
    <row r="8" spans="1:22" x14ac:dyDescent="0.25">
      <c r="J8" s="8" t="s">
        <v>49</v>
      </c>
      <c r="K8" s="1">
        <v>40200000</v>
      </c>
      <c r="S8" s="8" t="s">
        <v>37</v>
      </c>
      <c r="T8" s="13">
        <v>8600350</v>
      </c>
      <c r="U8" t="str">
        <f t="shared" si="1"/>
        <v>$9M</v>
      </c>
    </row>
    <row r="9" spans="1:22" x14ac:dyDescent="0.25">
      <c r="J9" s="8" t="s">
        <v>21</v>
      </c>
      <c r="K9" s="1">
        <v>26250000</v>
      </c>
      <c r="S9" s="8" t="s">
        <v>70</v>
      </c>
      <c r="T9" s="13">
        <v>7937650</v>
      </c>
      <c r="U9" t="str">
        <f t="shared" si="1"/>
        <v>$8M</v>
      </c>
    </row>
    <row r="10" spans="1:22" x14ac:dyDescent="0.25">
      <c r="A10" t="s">
        <v>31</v>
      </c>
      <c r="B10" t="s">
        <v>34</v>
      </c>
      <c r="C10" t="s">
        <v>35</v>
      </c>
      <c r="E10" t="str">
        <f>E5</f>
        <v>Row Labels</v>
      </c>
      <c r="F10" t="str">
        <f>F5</f>
        <v>Total Revenew</v>
      </c>
      <c r="J10" s="8" t="s">
        <v>23</v>
      </c>
      <c r="K10" s="1">
        <v>25770000</v>
      </c>
      <c r="N10" s="2" t="s">
        <v>67</v>
      </c>
      <c r="O10" s="13" t="s">
        <v>16</v>
      </c>
    </row>
    <row r="11" spans="1:22" x14ac:dyDescent="0.25">
      <c r="A11" t="s">
        <v>32</v>
      </c>
      <c r="B11" s="11">
        <f>B16/SUM(B16:B17)</f>
        <v>0.29158110882956878</v>
      </c>
      <c r="C11" s="10">
        <v>0.71</v>
      </c>
      <c r="E11" t="str">
        <f>E6</f>
        <v>Weekday</v>
      </c>
      <c r="F11" s="13">
        <f>F6</f>
        <v>63366500</v>
      </c>
      <c r="J11" s="8" t="s">
        <v>20</v>
      </c>
      <c r="K11" s="1">
        <v>18980000</v>
      </c>
      <c r="N11" s="8" t="s">
        <v>60</v>
      </c>
      <c r="O11" s="13">
        <v>9665350</v>
      </c>
      <c r="P11" t="str">
        <f>IF(O11&gt;=1000000000,TEXT(O11/1000000000,"$0")&amp;"B",IF(O11&gt;=1000000,TEXT(O11/1000000,"$0")&amp;"M",IF(O11&gt;=100000,TEXT(O11/10000,"$0")&amp;"K",O11)))</f>
        <v>$10M</v>
      </c>
    </row>
    <row r="12" spans="1:22" x14ac:dyDescent="0.25">
      <c r="A12" t="s">
        <v>33</v>
      </c>
      <c r="B12" s="11">
        <f>B17/SUM(B16:B17)</f>
        <v>0.70841889117043122</v>
      </c>
      <c r="C12" s="11">
        <v>0.28999999999999998</v>
      </c>
      <c r="E12" t="str">
        <f>E7</f>
        <v>Weekend</v>
      </c>
      <c r="F12" s="13">
        <f>F7</f>
        <v>135981700</v>
      </c>
      <c r="J12" s="8" t="s">
        <v>56</v>
      </c>
      <c r="K12" s="1">
        <v>18375000</v>
      </c>
      <c r="N12" s="8" t="s">
        <v>61</v>
      </c>
      <c r="O12" s="13">
        <v>33050900</v>
      </c>
      <c r="P12" t="str">
        <f t="shared" ref="P12:P17" si="2">IF(O12&gt;=1000000000,TEXT(O12/1000000000,"$0")&amp;"B",IF(O12&gt;=1000000,TEXT(O12/1000000,"$0")&amp;"M",IF(O12&gt;=100000,TEXT(O12/10000,"$0")&amp;"K",O12)))</f>
        <v>$33M</v>
      </c>
      <c r="S12" s="2" t="s">
        <v>79</v>
      </c>
      <c r="T12" s="13" t="s">
        <v>16</v>
      </c>
    </row>
    <row r="13" spans="1:22" x14ac:dyDescent="0.25">
      <c r="J13" s="8" t="s">
        <v>19</v>
      </c>
      <c r="K13" s="1">
        <v>15960000</v>
      </c>
      <c r="N13" s="8" t="s">
        <v>62</v>
      </c>
      <c r="O13" s="13">
        <v>41338650</v>
      </c>
      <c r="P13" t="str">
        <f t="shared" si="2"/>
        <v>$41M</v>
      </c>
      <c r="S13" s="8" t="s">
        <v>75</v>
      </c>
      <c r="T13" s="13">
        <v>3640000</v>
      </c>
      <c r="U13" t="str">
        <f>IF(T13&gt;=1000000000,TEXT(T13/1000000000,"$0")&amp;"B",IF(T13&gt;=1000000,TEXT(T13/1000000,"$0")&amp;"M",IF(T13&gt;=100000,TEXT(T13/10000,"$0")&amp;"K",T13)))</f>
        <v>$4M</v>
      </c>
    </row>
    <row r="14" spans="1:22" x14ac:dyDescent="0.25">
      <c r="J14" s="8" t="s">
        <v>25</v>
      </c>
      <c r="K14" s="1">
        <v>13180500</v>
      </c>
      <c r="N14" s="8" t="s">
        <v>63</v>
      </c>
      <c r="O14" s="13">
        <v>31771550</v>
      </c>
      <c r="P14" t="str">
        <f t="shared" si="2"/>
        <v>$32M</v>
      </c>
      <c r="S14" s="8" t="s">
        <v>73</v>
      </c>
      <c r="T14" s="13">
        <v>3300000</v>
      </c>
      <c r="U14" t="str">
        <f t="shared" ref="U14:U17" si="3">IF(T14&gt;=1000000000,TEXT(T14/1000000000,"$0")&amp;"B",IF(T14&gt;=1000000,TEXT(T14/1000000,"$0")&amp;"M",IF(T14&gt;=100000,TEXT(T14/10000,"$0")&amp;"K",T14)))</f>
        <v>$3M</v>
      </c>
    </row>
    <row r="15" spans="1:22" x14ac:dyDescent="0.25">
      <c r="A15" s="12" t="str">
        <f>A4</f>
        <v>churn Rate</v>
      </c>
      <c r="B15" s="3" t="str">
        <f>B4</f>
        <v>Count of Customer Churn Status</v>
      </c>
      <c r="J15" s="8" t="s">
        <v>26</v>
      </c>
      <c r="K15" s="1">
        <v>9312000</v>
      </c>
      <c r="N15" s="8" t="s">
        <v>64</v>
      </c>
      <c r="O15" s="13">
        <v>32612750</v>
      </c>
      <c r="P15" t="str">
        <f t="shared" si="2"/>
        <v>$33M</v>
      </c>
      <c r="S15" s="8" t="s">
        <v>76</v>
      </c>
      <c r="T15" s="13">
        <v>3105000</v>
      </c>
      <c r="U15" t="str">
        <f t="shared" si="3"/>
        <v>$3M</v>
      </c>
      <c r="V15" t="str">
        <f>IF(T15=MIN($O$21:$O$27),T15,"")</f>
        <v/>
      </c>
    </row>
    <row r="16" spans="1:22" x14ac:dyDescent="0.25">
      <c r="A16" s="12" t="str">
        <f>A5</f>
        <v>Churn</v>
      </c>
      <c r="B16" s="3">
        <f>B5</f>
        <v>284</v>
      </c>
      <c r="J16" s="8" t="s">
        <v>53</v>
      </c>
      <c r="K16" s="1">
        <v>8500000</v>
      </c>
      <c r="N16" s="8" t="s">
        <v>65</v>
      </c>
      <c r="O16" s="13">
        <v>29840200</v>
      </c>
      <c r="P16" t="str">
        <f t="shared" si="2"/>
        <v>$30M</v>
      </c>
      <c r="S16" s="8" t="s">
        <v>77</v>
      </c>
      <c r="T16" s="13">
        <v>2870000</v>
      </c>
      <c r="U16" t="str">
        <f t="shared" si="3"/>
        <v>$3M</v>
      </c>
      <c r="V16" t="str">
        <f>IF(T16=MIN($O$21:$O$27),T16,"")</f>
        <v/>
      </c>
    </row>
    <row r="17" spans="1:22" x14ac:dyDescent="0.25">
      <c r="A17" s="12" t="s">
        <v>28</v>
      </c>
      <c r="B17" s="3">
        <f>B6</f>
        <v>690</v>
      </c>
      <c r="J17" s="8" t="s">
        <v>24</v>
      </c>
      <c r="K17" s="1">
        <v>7920000</v>
      </c>
      <c r="N17" s="8" t="s">
        <v>66</v>
      </c>
      <c r="O17" s="13">
        <v>21068800</v>
      </c>
      <c r="P17" t="str">
        <f t="shared" si="2"/>
        <v>$21M</v>
      </c>
      <c r="S17" s="8" t="s">
        <v>74</v>
      </c>
      <c r="T17" s="13">
        <v>2606500</v>
      </c>
      <c r="U17" t="str">
        <f t="shared" si="3"/>
        <v>$3M</v>
      </c>
      <c r="V17" t="str">
        <f>IF(T17=MIN($O$21:$O$27),T17,"")</f>
        <v/>
      </c>
    </row>
    <row r="18" spans="1:22" x14ac:dyDescent="0.25">
      <c r="E18" t="s">
        <v>41</v>
      </c>
      <c r="F18" t="s">
        <v>44</v>
      </c>
      <c r="G18" t="s">
        <v>45</v>
      </c>
      <c r="U18" t="str">
        <f>IF(T18=MAX($O$21:$O$27),T18,"")</f>
        <v/>
      </c>
      <c r="V18" t="str">
        <f>IF(T18=MIN($O$21:$O$27),T18,"")</f>
        <v/>
      </c>
    </row>
    <row r="19" spans="1:22" x14ac:dyDescent="0.25">
      <c r="E19" t="s">
        <v>42</v>
      </c>
      <c r="F19" s="11">
        <f>F11/SUM(F11:F12)</f>
        <v>0.31786843322387659</v>
      </c>
      <c r="G19" s="11">
        <v>0.68</v>
      </c>
      <c r="J19" t="str">
        <f>IF($M$2=1,J7,F22)</f>
        <v>Subcription Plan</v>
      </c>
      <c r="K19" t="str">
        <f>IF($M$2=1,K7,G22)</f>
        <v>Total Revenew</v>
      </c>
      <c r="L19" t="s">
        <v>59</v>
      </c>
      <c r="U19" t="str">
        <f>IF(T19=MAX($O$21:$O$27),T19,"")</f>
        <v/>
      </c>
      <c r="V19" t="str">
        <f>IF(T19=MIN($O$21:$O$27),T19,"")</f>
        <v/>
      </c>
    </row>
    <row r="20" spans="1:22" x14ac:dyDescent="0.25">
      <c r="E20" t="s">
        <v>43</v>
      </c>
      <c r="F20" s="11">
        <f>F12/SUM(F11:F12)</f>
        <v>0.68213156677612341</v>
      </c>
      <c r="G20" s="11">
        <v>0.32</v>
      </c>
      <c r="J20" t="str">
        <f>IF($M$2=1,J8,F23)</f>
        <v>1.5TB Yearly Broadband Plan</v>
      </c>
      <c r="K20">
        <f>IF($M$2=1,K8,G23)</f>
        <v>40200000</v>
      </c>
      <c r="L20" t="str">
        <f>IF(K20&gt;=1000000000,TEXT(K20/1000000000,"$0")&amp;"B",IF(K20&gt;=1000000,TEXT(K20/1000000,"$0")&amp;"M",IF(K20&gt;=100000,TEXT(K20/10000,"$0")&amp;"K",K20)))</f>
        <v>$40M</v>
      </c>
      <c r="N20" t="str" cm="1">
        <f t="array" ref="N20:N27">N10:N17</f>
        <v>Age_Group</v>
      </c>
      <c r="O20" s="13" t="str" cm="1">
        <f t="array" ref="O20:O27">O10:O17</f>
        <v>Total Revenew</v>
      </c>
      <c r="P20" t="s">
        <v>68</v>
      </c>
      <c r="Q20" t="s">
        <v>69</v>
      </c>
      <c r="S20" s="2" t="s">
        <v>83</v>
      </c>
      <c r="T20" s="13" t="s">
        <v>16</v>
      </c>
      <c r="U20" t="str">
        <f>IF(T20=MAX($O$21:$O$27),T20,"")</f>
        <v/>
      </c>
      <c r="V20" t="str">
        <f>IF(T20=MIN($O$21:$O$27),T20,"")</f>
        <v/>
      </c>
    </row>
    <row r="21" spans="1:22" x14ac:dyDescent="0.25">
      <c r="J21" t="str">
        <f>IF($M$2=1,J9,F24)</f>
        <v>165GB Monthly Plan</v>
      </c>
      <c r="K21">
        <f>IF($M$2=1,K9,G24)</f>
        <v>26250000</v>
      </c>
      <c r="L21" t="str">
        <f>IF(K21&gt;=1000000000,TEXT(K21/1000000000,"$0")&amp;"B",IF(K21&gt;=1000000,TEXT(K21/1000000,"$0")&amp;"M",IF(K21&gt;=100000,TEXT(K21/10000,"$0")&amp;"K",K21)))</f>
        <v>$26M</v>
      </c>
      <c r="N21" t="str">
        <v>&lt; 20</v>
      </c>
      <c r="O21">
        <v>9665350</v>
      </c>
      <c r="P21" t="str">
        <f>IF(O21=MAX($O$21:$O$27),O21,"")</f>
        <v/>
      </c>
      <c r="Q21">
        <f>IF(O21=MIN($O$21:$O$27),O21,"")</f>
        <v>9665350</v>
      </c>
      <c r="S21" s="8" t="s">
        <v>80</v>
      </c>
      <c r="T21" s="13">
        <v>104415650</v>
      </c>
      <c r="U21" t="str">
        <f>IF(T21=MAX($O$21:$O$27),T21,"")</f>
        <v/>
      </c>
      <c r="V21" t="str">
        <f>IF(T21=MIN($O$21:$O$27),T21,"")</f>
        <v/>
      </c>
    </row>
    <row r="22" spans="1:22" x14ac:dyDescent="0.25">
      <c r="F22" s="2" t="s">
        <v>36</v>
      </c>
      <c r="G22" t="s">
        <v>16</v>
      </c>
      <c r="J22" t="str">
        <f>IF($M$2=1,J10,F25)</f>
        <v>300GB FUP Monthly Unlimited</v>
      </c>
      <c r="K22">
        <f>IF($M$2=1,K10,G25)</f>
        <v>25770000</v>
      </c>
      <c r="L22" t="str">
        <f>IF(K22&gt;=1000000000,TEXT(K22/1000000000,"$0")&amp;"B",IF(K22&gt;=1000000,TEXT(K22/1000000,"$0")&amp;"M",IF(K22&gt;=100000,TEXT(K22/10000,"$0")&amp;"K",K22)))</f>
        <v>$26M</v>
      </c>
      <c r="N22" t="str">
        <v>21-30</v>
      </c>
      <c r="O22">
        <v>33050900</v>
      </c>
      <c r="P22" t="str">
        <f>IF(O22=MAX($O$21:$O$27),O22,"")</f>
        <v/>
      </c>
      <c r="Q22" t="str">
        <f>IF(O22=MIN($O$21:$O$27),O22,"")</f>
        <v/>
      </c>
      <c r="S22" s="8" t="s">
        <v>81</v>
      </c>
      <c r="T22" s="13">
        <v>94932550</v>
      </c>
    </row>
    <row r="23" spans="1:22" x14ac:dyDescent="0.25">
      <c r="C23" s="2" t="s">
        <v>36</v>
      </c>
      <c r="D23" t="s">
        <v>27</v>
      </c>
      <c r="F23" s="8" t="s">
        <v>17</v>
      </c>
      <c r="G23" s="1">
        <v>2799000</v>
      </c>
      <c r="J23" t="str">
        <f>IF($M$2=1,J11,F26)</f>
        <v>150GB FUP Monthly Unlimited</v>
      </c>
      <c r="K23">
        <f>IF($M$2=1,K11,G26)</f>
        <v>18980000</v>
      </c>
      <c r="L23" t="str">
        <f>IF(K23&gt;=1000000000,TEXT(K23/1000000000,"$0")&amp;"B",IF(K23&gt;=1000000,TEXT(K23/1000000,"$0")&amp;"M",IF(K23&gt;=100000,TEXT(K23/10000,"$0")&amp;"K",K23)))</f>
        <v>$19M</v>
      </c>
      <c r="N23" t="str">
        <v>31-40</v>
      </c>
      <c r="O23">
        <v>41338650</v>
      </c>
      <c r="P23">
        <f>IF(O23=MAX($O$21:$O$27),O23,"")</f>
        <v>41338650</v>
      </c>
      <c r="Q23" t="str">
        <f>IF(O23=MIN($O$21:$O$27),O23,"")</f>
        <v/>
      </c>
    </row>
    <row r="24" spans="1:22" x14ac:dyDescent="0.25">
      <c r="C24" s="8" t="s">
        <v>25</v>
      </c>
      <c r="D24" s="3">
        <v>8041.42</v>
      </c>
      <c r="F24" s="8" t="s">
        <v>18</v>
      </c>
      <c r="G24" s="1">
        <v>2233000</v>
      </c>
      <c r="J24" t="str">
        <f>IF($M$2=1,J12,F27)</f>
        <v>450GB 3-Month Broadband Plan</v>
      </c>
      <c r="K24">
        <f>IF($M$2=1,K12,G27)</f>
        <v>18375000</v>
      </c>
      <c r="L24" t="str">
        <f>IF(K24&gt;=1000000000,TEXT(K24/1000000000,"$0")&amp;"B",IF(K24&gt;=1000000,TEXT(K24/1000000,"$0")&amp;"M",IF(K24&gt;=100000,TEXT(K24/10000,"$0")&amp;"K",K24)))</f>
        <v>$18M</v>
      </c>
      <c r="N24" t="str">
        <v>41-50</v>
      </c>
      <c r="O24">
        <v>31771550</v>
      </c>
      <c r="P24" t="str">
        <f>IF(O24=MAX($O$21:$O$27),O24,"")</f>
        <v/>
      </c>
      <c r="Q24" t="str">
        <f>IF(O24=MIN($O$21:$O$27),O24,"")</f>
        <v/>
      </c>
      <c r="S24" t="str" cm="1">
        <f t="array" ref="S24:S26">S20:S22</f>
        <v>gender</v>
      </c>
      <c r="T24" t="s">
        <v>82</v>
      </c>
      <c r="U24" t="s">
        <v>84</v>
      </c>
    </row>
    <row r="25" spans="1:22" x14ac:dyDescent="0.25">
      <c r="C25" s="8" t="s">
        <v>23</v>
      </c>
      <c r="D25" s="3">
        <v>7673.88</v>
      </c>
      <c r="F25" s="8" t="s">
        <v>50</v>
      </c>
      <c r="G25" s="1">
        <v>1950000</v>
      </c>
      <c r="J25" t="str">
        <f>IF($M$2=1,J13,F28)</f>
        <v>120GB Monthly Broadband Plan</v>
      </c>
      <c r="K25">
        <f>IF($M$2=1,K13,G28)</f>
        <v>15960000</v>
      </c>
      <c r="L25" t="str">
        <f>IF(K25&gt;=1000000000,TEXT(K25/1000000000,"$0")&amp;"B",IF(K25&gt;=1000000,TEXT(K25/1000000,"$0")&amp;"M",IF(K25&gt;=100000,TEXT(K25/10000,"$0")&amp;"K",K25)))</f>
        <v>$16M</v>
      </c>
      <c r="N25" t="str">
        <v>51-60</v>
      </c>
      <c r="O25">
        <v>32612750</v>
      </c>
      <c r="P25" t="str">
        <f>IF(O25=MAX($O$21:$O$27),O25,"")</f>
        <v/>
      </c>
      <c r="Q25" t="str">
        <f>IF(O25=MIN($O$21:$O$27),O25,"")</f>
        <v/>
      </c>
      <c r="S25" t="str">
        <v>Female</v>
      </c>
      <c r="T25" s="10">
        <f>T21/SUM(T21:T22)</f>
        <v>0.52378526618248877</v>
      </c>
      <c r="U25" s="11">
        <f>100%-T25</f>
        <v>0.47621473381751123</v>
      </c>
    </row>
    <row r="26" spans="1:22" x14ac:dyDescent="0.25">
      <c r="C26" s="8" t="s">
        <v>21</v>
      </c>
      <c r="D26" s="3">
        <v>7547.26</v>
      </c>
      <c r="F26" s="8" t="s">
        <v>54</v>
      </c>
      <c r="G26" s="1">
        <v>1545000</v>
      </c>
      <c r="J26" t="str">
        <f>IF($M$2=1,J14,F29)</f>
        <v>60GB Monthly Broadband Plan</v>
      </c>
      <c r="K26">
        <f>IF($M$2=1,K14,G29)</f>
        <v>13180500</v>
      </c>
      <c r="L26" t="str">
        <f>IF(K26&gt;=1000000000,TEXT(K26/1000000000,"$0")&amp;"B",IF(K26&gt;=1000000,TEXT(K26/1000000,"$0")&amp;"M",IF(K26&gt;=100000,TEXT(K26/10000,"$0")&amp;"K",K26)))</f>
        <v>$13M</v>
      </c>
      <c r="N26" t="str">
        <v>61-70</v>
      </c>
      <c r="O26">
        <v>29840200</v>
      </c>
      <c r="P26" t="str">
        <f>IF(O26=MAX($O$21:$O$27),O26,"")</f>
        <v/>
      </c>
      <c r="Q26" t="str">
        <f>IF(O26=MIN($O$21:$O$27),O26,"")</f>
        <v/>
      </c>
      <c r="S26" t="str">
        <v>Male</v>
      </c>
      <c r="T26" s="10">
        <f>T22/SUM(T21:T22)</f>
        <v>0.47621473381751128</v>
      </c>
      <c r="U26" s="11">
        <f>100%-T26</f>
        <v>0.52378526618248866</v>
      </c>
    </row>
    <row r="27" spans="1:22" x14ac:dyDescent="0.25">
      <c r="C27" s="8" t="s">
        <v>24</v>
      </c>
      <c r="D27" s="3">
        <v>7469.4</v>
      </c>
      <c r="F27" s="8" t="s">
        <v>58</v>
      </c>
      <c r="G27" s="1">
        <v>976500</v>
      </c>
      <c r="J27" t="str">
        <f>IF($M$2=1,J15,F30)</f>
        <v>65GB Monthly Plan</v>
      </c>
      <c r="K27">
        <f>IF($M$2=1,K15,G30)</f>
        <v>9312000</v>
      </c>
      <c r="L27" t="str">
        <f>IF(K27&gt;=1000000000,TEXT(K27/1000000000,"$0")&amp;"B",IF(K27&gt;=1000000,TEXT(K27/1000000,"$0")&amp;"M",IF(K27&gt;=100000,TEXT(K27/10000,"$0")&amp;"K",K27)))</f>
        <v>$9M</v>
      </c>
      <c r="N27" t="str">
        <v>71-80</v>
      </c>
      <c r="O27">
        <v>21068800</v>
      </c>
      <c r="P27" t="str">
        <f>IF(O27=MAX($O$21:$O$27),O27,"")</f>
        <v/>
      </c>
      <c r="Q27" t="str">
        <f>IF(O27=MIN($O$21:$O$27),O27,"")</f>
        <v/>
      </c>
    </row>
    <row r="28" spans="1:22" x14ac:dyDescent="0.25">
      <c r="C28" s="8" t="s">
        <v>19</v>
      </c>
      <c r="D28" s="3">
        <v>7271.58</v>
      </c>
      <c r="F28" s="8" t="s">
        <v>55</v>
      </c>
      <c r="G28" s="1">
        <v>377000</v>
      </c>
      <c r="J28" t="str">
        <f>IF($M$2=1,J16,F31)</f>
        <v>200GB Monthly Broadband Plan</v>
      </c>
      <c r="K28">
        <f>IF($M$2=1,K16,G31)</f>
        <v>8500000</v>
      </c>
      <c r="L28" t="str">
        <f>IF(K28&gt;=1000000000,TEXT(K28/1000000000,"$0")&amp;"B",IF(K28&gt;=1000000,TEXT(K28/1000000,"$0")&amp;"M",IF(K28&gt;=100000,TEXT(K28/10000,"$0")&amp;"K",K28)))</f>
        <v>$9M</v>
      </c>
    </row>
    <row r="29" spans="1:22" x14ac:dyDescent="0.25">
      <c r="C29" s="8" t="s">
        <v>17</v>
      </c>
      <c r="D29" s="3">
        <v>7174.72</v>
      </c>
      <c r="F29" s="8" t="s">
        <v>52</v>
      </c>
      <c r="G29" s="1">
        <v>300600</v>
      </c>
    </row>
    <row r="30" spans="1:22" x14ac:dyDescent="0.25">
      <c r="C30" s="8" t="s">
        <v>20</v>
      </c>
      <c r="D30" s="3">
        <v>7088.34</v>
      </c>
      <c r="F30" s="8" t="s">
        <v>48</v>
      </c>
      <c r="G30" s="1">
        <v>170400</v>
      </c>
    </row>
    <row r="31" spans="1:22" x14ac:dyDescent="0.25">
      <c r="C31" s="8" t="s">
        <v>26</v>
      </c>
      <c r="D31" s="3">
        <v>5616.12</v>
      </c>
      <c r="F31" s="8" t="s">
        <v>51</v>
      </c>
      <c r="G31" s="1">
        <v>116500</v>
      </c>
    </row>
    <row r="32" spans="1:22" x14ac:dyDescent="0.25">
      <c r="C32" s="8" t="s">
        <v>22</v>
      </c>
      <c r="D32" s="3">
        <v>4846.7299999999996</v>
      </c>
      <c r="F32" s="8" t="s">
        <v>57</v>
      </c>
      <c r="G32" s="1">
        <v>112700</v>
      </c>
    </row>
    <row r="33" spans="3:4" x14ac:dyDescent="0.25">
      <c r="C33" s="8" t="s">
        <v>18</v>
      </c>
      <c r="D33" s="3">
        <v>3312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F1081-3D5B-48B7-9702-5CC5067BC2F8}">
  <sheetPr codeName="Sheet1"/>
  <dimension ref="A1:A4"/>
  <sheetViews>
    <sheetView showGridLines="0" showRowColHeaders="0" topLeftCell="B4" zoomScale="67" zoomScaleNormal="67" workbookViewId="0">
      <selection activeCell="P14" sqref="P14"/>
    </sheetView>
  </sheetViews>
  <sheetFormatPr defaultRowHeight="15" x14ac:dyDescent="0.25"/>
  <cols>
    <col min="1" max="14" width="9.140625" style="7"/>
    <col min="15" max="15" width="7" style="7" customWidth="1"/>
    <col min="16" max="16" width="4.85546875" style="7" customWidth="1"/>
    <col min="17" max="17" width="4.140625" style="7" customWidth="1"/>
    <col min="18" max="16384" width="9.140625" style="7"/>
  </cols>
  <sheetData>
    <row r="1" ht="3.75" hidden="1" customHeight="1" x14ac:dyDescent="0.25"/>
    <row r="2" ht="12.75" hidden="1" customHeight="1" x14ac:dyDescent="0.25"/>
    <row r="3" hidden="1" x14ac:dyDescent="0.25"/>
    <row r="4" ht="23.25" customHeight="1" x14ac:dyDescent="0.25"/>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36" r:id="rId3" name="Option Button 12">
              <controlPr defaultSize="0" autoFill="0" autoLine="0" autoPict="0">
                <anchor moveWithCells="1">
                  <from>
                    <xdr:col>17</xdr:col>
                    <xdr:colOff>600075</xdr:colOff>
                    <xdr:row>14</xdr:row>
                    <xdr:rowOff>152400</xdr:rowOff>
                  </from>
                  <to>
                    <xdr:col>18</xdr:col>
                    <xdr:colOff>361950</xdr:colOff>
                    <xdr:row>16</xdr:row>
                    <xdr:rowOff>133350</xdr:rowOff>
                  </to>
                </anchor>
              </controlPr>
            </control>
          </mc:Choice>
        </mc:AlternateContent>
        <mc:AlternateContent xmlns:mc="http://schemas.openxmlformats.org/markup-compatibility/2006">
          <mc:Choice Requires="x14">
            <control shapeId="1037" r:id="rId4" name="Option Button 13">
              <controlPr defaultSize="0" autoFill="0" autoLine="0" autoPict="0">
                <anchor moveWithCells="1">
                  <from>
                    <xdr:col>22</xdr:col>
                    <xdr:colOff>266700</xdr:colOff>
                    <xdr:row>14</xdr:row>
                    <xdr:rowOff>114300</xdr:rowOff>
                  </from>
                  <to>
                    <xdr:col>23</xdr:col>
                    <xdr:colOff>19050</xdr:colOff>
                    <xdr:row>16</xdr:row>
                    <xdr:rowOff>95250</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19BB1ECF-A671-4637-AE52-62479A56C03D}">
  <ds:schemaRefs/>
</ds:datastoreItem>
</file>

<file path=customXml/itemProps2.xml><?xml version="1.0" encoding="utf-8"?>
<ds:datastoreItem xmlns:ds="http://schemas.openxmlformats.org/officeDocument/2006/customXml" ds:itemID="{BC51C2B6-9121-4865-A276-8D8FCCE955A2}">
  <ds:schemaRefs/>
</ds:datastoreItem>
</file>

<file path=customXml/itemProps3.xml><?xml version="1.0" encoding="utf-8"?>
<ds:datastoreItem xmlns:ds="http://schemas.openxmlformats.org/officeDocument/2006/customXml" ds:itemID="{5F36193B-D534-4C41-AE33-8C8A83B7B623}">
  <ds:schemaRefs/>
</ds:datastoreItem>
</file>

<file path=customXml/itemProps4.xml><?xml version="1.0" encoding="utf-8"?>
<ds:datastoreItem xmlns:ds="http://schemas.openxmlformats.org/officeDocument/2006/customXml" ds:itemID="{45CF755B-F412-4253-A219-3E549E9531ED}">
  <ds:schemaRefs/>
</ds:datastoreItem>
</file>

<file path=customXml/itemProps5.xml><?xml version="1.0" encoding="utf-8"?>
<ds:datastoreItem xmlns:ds="http://schemas.openxmlformats.org/officeDocument/2006/customXml" ds:itemID="{0E5B7F8C-BCB5-4ABC-BBE1-31DF7C816928}">
  <ds:schemaRefs/>
</ds:datastoreItem>
</file>

<file path=customXml/itemProps6.xml><?xml version="1.0" encoding="utf-8"?>
<ds:datastoreItem xmlns:ds="http://schemas.openxmlformats.org/officeDocument/2006/customXml" ds:itemID="{784D8C82-0F62-4993-B6EE-45BA58DF9519}">
  <ds:schemaRefs/>
</ds:datastoreItem>
</file>

<file path=customXml/itemProps7.xml><?xml version="1.0" encoding="utf-8"?>
<ds:datastoreItem xmlns:ds="http://schemas.openxmlformats.org/officeDocument/2006/customXml" ds:itemID="{131B4D6F-8267-4EE0-BB16-7F211F6F8A55}">
  <ds:schemaRefs/>
</ds:datastoreItem>
</file>

<file path=customXml/itemProps8.xml><?xml version="1.0" encoding="utf-8"?>
<ds:datastoreItem xmlns:ds="http://schemas.openxmlformats.org/officeDocument/2006/customXml" ds:itemID="{7EF8643E-14D0-40EE-8F84-F8F740230045}">
  <ds:schemaRefs/>
</ds:datastoreItem>
</file>

<file path=customXml/itemProps9.xml><?xml version="1.0" encoding="utf-8"?>
<ds:datastoreItem xmlns:ds="http://schemas.openxmlformats.org/officeDocument/2006/customXml" ds:itemID="{1522A558-E535-44D0-BF6A-00007B9E8C4F}">
  <ds:schemaRefs/>
</ds:datastoreItem>
</file>

<file path=customXml/itemProps10.xml><?xml version="1.0" encoding="utf-8"?>
<ds:datastoreItem xmlns:ds="http://schemas.openxmlformats.org/officeDocument/2006/customXml" ds:itemID="{6BD43034-0B50-45D4-A3D6-3CCED982B508}">
  <ds:schemaRefs/>
</ds:datastoreItem>
</file>

<file path=customXml/itemProps11.xml><?xml version="1.0" encoding="utf-8"?>
<ds:datastoreItem xmlns:ds="http://schemas.openxmlformats.org/officeDocument/2006/customXml" ds:itemID="{B0BD95A5-1E5C-4860-ABCA-65A469AD3EE6}">
  <ds:schemaRefs/>
</ds:datastoreItem>
</file>

<file path=customXml/itemProps12.xml><?xml version="1.0" encoding="utf-8"?>
<ds:datastoreItem xmlns:ds="http://schemas.openxmlformats.org/officeDocument/2006/customXml" ds:itemID="{CA3599DA-701B-43E0-9DB2-603E9D02073A}">
  <ds:schemaRefs/>
</ds:datastoreItem>
</file>

<file path=customXml/itemProps13.xml><?xml version="1.0" encoding="utf-8"?>
<ds:datastoreItem xmlns:ds="http://schemas.openxmlformats.org/officeDocument/2006/customXml" ds:itemID="{B7644D56-4476-4A4C-AF2B-93A86AD5C0AE}">
  <ds:schemaRefs/>
</ds:datastoreItem>
</file>

<file path=customXml/itemProps14.xml><?xml version="1.0" encoding="utf-8"?>
<ds:datastoreItem xmlns:ds="http://schemas.openxmlformats.org/officeDocument/2006/customXml" ds:itemID="{EC6AF3AD-AB24-4EC7-ACA7-7CB55ED68A17}">
  <ds:schemaRefs/>
</ds:datastoreItem>
</file>

<file path=customXml/itemProps15.xml><?xml version="1.0" encoding="utf-8"?>
<ds:datastoreItem xmlns:ds="http://schemas.openxmlformats.org/officeDocument/2006/customXml" ds:itemID="{10663F1D-089F-45D4-9497-BB509C19C9A2}">
  <ds:schemaRefs/>
</ds:datastoreItem>
</file>

<file path=customXml/itemProps16.xml><?xml version="1.0" encoding="utf-8"?>
<ds:datastoreItem xmlns:ds="http://schemas.openxmlformats.org/officeDocument/2006/customXml" ds:itemID="{C363F7F1-E3E5-43AD-AFC0-BE7A7252BCDB}">
  <ds:schemaRefs/>
</ds:datastoreItem>
</file>

<file path=customXml/itemProps17.xml><?xml version="1.0" encoding="utf-8"?>
<ds:datastoreItem xmlns:ds="http://schemas.openxmlformats.org/officeDocument/2006/customXml" ds:itemID="{3B25BF3E-98D7-4EEF-A22D-322AF4037901}">
  <ds:schemaRefs/>
</ds:datastoreItem>
</file>

<file path=customXml/itemProps18.xml><?xml version="1.0" encoding="utf-8"?>
<ds:datastoreItem xmlns:ds="http://schemas.openxmlformats.org/officeDocument/2006/customXml" ds:itemID="{EBB020D9-3013-4953-BB27-93102A99E01E}">
  <ds:schemaRefs/>
</ds:datastoreItem>
</file>

<file path=customXml/itemProps19.xml><?xml version="1.0" encoding="utf-8"?>
<ds:datastoreItem xmlns:ds="http://schemas.openxmlformats.org/officeDocument/2006/customXml" ds:itemID="{25133F05-4C74-4779-868A-83C28B843FEA}">
  <ds:schemaRefs/>
</ds:datastoreItem>
</file>

<file path=customXml/itemProps20.xml><?xml version="1.0" encoding="utf-8"?>
<ds:datastoreItem xmlns:ds="http://schemas.openxmlformats.org/officeDocument/2006/customXml" ds:itemID="{9A7A7CC2-1D3A-404E-A9AE-35578FC30DFD}">
  <ds:schemaRefs/>
</ds:datastoreItem>
</file>

<file path=customXml/itemProps21.xml><?xml version="1.0" encoding="utf-8"?>
<ds:datastoreItem xmlns:ds="http://schemas.openxmlformats.org/officeDocument/2006/customXml" ds:itemID="{C90F40E6-285F-4362-BD10-5BFEE237A4A4}">
  <ds:schemaRefs/>
</ds:datastoreItem>
</file>

<file path=customXml/itemProps22.xml><?xml version="1.0" encoding="utf-8"?>
<ds:datastoreItem xmlns:ds="http://schemas.openxmlformats.org/officeDocument/2006/customXml" ds:itemID="{AB6C5988-B212-4831-9471-774FF3B7E50A}">
  <ds:schemaRefs/>
</ds:datastoreItem>
</file>

<file path=customXml/itemProps23.xml><?xml version="1.0" encoding="utf-8"?>
<ds:datastoreItem xmlns:ds="http://schemas.openxmlformats.org/officeDocument/2006/customXml" ds:itemID="{56BEB362-37E1-45EF-9A4B-AA054AC38529}">
  <ds:schemaRefs/>
</ds:datastoreItem>
</file>

<file path=customXml/itemProps24.xml><?xml version="1.0" encoding="utf-8"?>
<ds:datastoreItem xmlns:ds="http://schemas.openxmlformats.org/officeDocument/2006/customXml" ds:itemID="{8A63F250-4EA1-4B7B-B9B9-61061F9B7A28}">
  <ds:schemaRefs/>
</ds:datastoreItem>
</file>

<file path=customXml/itemProps25.xml><?xml version="1.0" encoding="utf-8"?>
<ds:datastoreItem xmlns:ds="http://schemas.openxmlformats.org/officeDocument/2006/customXml" ds:itemID="{1E3ED18D-102C-40F6-ADB4-030151F3EA61}">
  <ds:schemaRefs/>
</ds:datastoreItem>
</file>

<file path=customXml/itemProps26.xml><?xml version="1.0" encoding="utf-8"?>
<ds:datastoreItem xmlns:ds="http://schemas.openxmlformats.org/officeDocument/2006/customXml" ds:itemID="{3D31D3C2-B1E2-4BE0-8E11-B230BDBC4231}">
  <ds:schemaRefs/>
</ds:datastoreItem>
</file>

<file path=customXml/itemProps27.xml><?xml version="1.0" encoding="utf-8"?>
<ds:datastoreItem xmlns:ds="http://schemas.openxmlformats.org/officeDocument/2006/customXml" ds:itemID="{6495C541-077D-432C-AC4F-46572E76A5BE}">
  <ds:schemaRefs/>
</ds:datastoreItem>
</file>

<file path=customXml/itemProps28.xml><?xml version="1.0" encoding="utf-8"?>
<ds:datastoreItem xmlns:ds="http://schemas.openxmlformats.org/officeDocument/2006/customXml" ds:itemID="{306A955C-DF8B-4B3E-8C5A-7F40F9A8C612}">
  <ds:schemaRefs/>
</ds:datastoreItem>
</file>

<file path=customXml/itemProps29.xml><?xml version="1.0" encoding="utf-8"?>
<ds:datastoreItem xmlns:ds="http://schemas.openxmlformats.org/officeDocument/2006/customXml" ds:itemID="{2F75C0C1-BE1E-4436-9126-AF9A293B7CED}">
  <ds:schemaRefs/>
</ds:datastoreItem>
</file>

<file path=customXml/itemProps30.xml><?xml version="1.0" encoding="utf-8"?>
<ds:datastoreItem xmlns:ds="http://schemas.openxmlformats.org/officeDocument/2006/customXml" ds:itemID="{3BDA8DA0-7677-4B65-ABBF-20FB60D2BC56}">
  <ds:schemaRefs/>
</ds:datastoreItem>
</file>

<file path=customXml/itemProps31.xml><?xml version="1.0" encoding="utf-8"?>
<ds:datastoreItem xmlns:ds="http://schemas.openxmlformats.org/officeDocument/2006/customXml" ds:itemID="{BB936851-E035-448D-8057-AFC58B65315D}">
  <ds:schemaRefs/>
</ds:datastoreItem>
</file>

<file path=customXml/itemProps32.xml><?xml version="1.0" encoding="utf-8"?>
<ds:datastoreItem xmlns:ds="http://schemas.openxmlformats.org/officeDocument/2006/customXml" ds:itemID="{7C004335-DDEE-400D-95F7-18F43D4A557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Neemah</dc:creator>
  <cp:lastModifiedBy>Neemah</cp:lastModifiedBy>
  <dcterms:created xsi:type="dcterms:W3CDTF">2026-01-26T10:33:36Z</dcterms:created>
  <dcterms:modified xsi:type="dcterms:W3CDTF">2026-02-04T19:20:36Z</dcterms:modified>
</cp:coreProperties>
</file>